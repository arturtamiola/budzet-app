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dsumowanie" sheetId="1" r:id="rId4"/>
    <sheet state="visible" name="Transakcje" sheetId="2" r:id="rId5"/>
  </sheets>
  <definedNames>
    <definedName name="StartingBalance">Podsumowanie!$L$8</definedName>
  </definedNames>
  <calcPr/>
</workbook>
</file>

<file path=xl/sharedStrings.xml><?xml version="1.0" encoding="utf-8"?>
<sst xmlns="http://schemas.openxmlformats.org/spreadsheetml/2006/main" count="177" uniqueCount="89">
  <si>
    <t>PIERWSZE KROKI</t>
  </si>
  <si>
    <t>UWAGA</t>
  </si>
  <si>
    <t>Podaj saldo początkowe w komórce L8, a następnie dostosuj kategorie i kwoty planowanych wydatków w tabelach „Przychody” i „Wydatki” poniżej.</t>
  </si>
  <si>
    <t>Edytuj tylko wyróżnione komórki.</t>
  </si>
  <si>
    <t xml:space="preserve">Postaraj się nie zmieniać komórek zawierających formułę. </t>
  </si>
  <si>
    <t>Gdy wpiszesz datę w arkuszu „Transakcje”, dane w tym arkuszu zostaną automatycznie zaktualizowane, aby pokazać podsumowanie miesięcznych wydatków.</t>
  </si>
  <si>
    <t>Budżet miesięczny</t>
  </si>
  <si>
    <t xml:space="preserve">Saldo początkowe: </t>
  </si>
  <si>
    <t xml:space="preserve">SALDO POCZATKOWE </t>
  </si>
  <si>
    <t xml:space="preserve"> SALDO KOŃCOWE</t>
  </si>
  <si>
    <t>Wydatki</t>
  </si>
  <si>
    <t>Przychody</t>
  </si>
  <si>
    <t>Planowane</t>
  </si>
  <si>
    <t>Rzeczywiste</t>
  </si>
  <si>
    <t>Różnica</t>
  </si>
  <si>
    <t>Suma</t>
  </si>
  <si>
    <t>Zakupy</t>
  </si>
  <si>
    <t>Oszczędności</t>
  </si>
  <si>
    <t>Firma</t>
  </si>
  <si>
    <t>Pensja</t>
  </si>
  <si>
    <t>Restauracje</t>
  </si>
  <si>
    <t>800+</t>
  </si>
  <si>
    <t>Dom (czynsz, rachunki)</t>
  </si>
  <si>
    <t>Odsetki</t>
  </si>
  <si>
    <t>Transport</t>
  </si>
  <si>
    <t>Inne</t>
  </si>
  <si>
    <t>Nela</t>
  </si>
  <si>
    <t xml:space="preserve">Kategoria niestandardowa </t>
  </si>
  <si>
    <t>Koty</t>
  </si>
  <si>
    <t>Sport</t>
  </si>
  <si>
    <t>Marta Zdrowie</t>
  </si>
  <si>
    <t>Ubrania / Kosmetyki</t>
  </si>
  <si>
    <t>Fryzjer / Barber / Paznokcie</t>
  </si>
  <si>
    <t>Podróże</t>
  </si>
  <si>
    <t>Zadłużenie</t>
  </si>
  <si>
    <t>Aby zmienić lub dodać kategorie, zaktualizuj tabele Wydatki i Przychody w arkuszu Podsumowanie.</t>
  </si>
  <si>
    <t>Data</t>
  </si>
  <si>
    <t>Kwota</t>
  </si>
  <si>
    <t>Opis</t>
  </si>
  <si>
    <t>Kategoria</t>
  </si>
  <si>
    <t>Marta wypłata</t>
  </si>
  <si>
    <t>devin</t>
  </si>
  <si>
    <t>zus</t>
  </si>
  <si>
    <t>dochodowy</t>
  </si>
  <si>
    <t>księgowość</t>
  </si>
  <si>
    <t>Czesne</t>
  </si>
  <si>
    <t>Wyżywienie</t>
  </si>
  <si>
    <t>t-mobile</t>
  </si>
  <si>
    <t>Czynsz</t>
  </si>
  <si>
    <t>Fundusz Remontowy</t>
  </si>
  <si>
    <t>internet</t>
  </si>
  <si>
    <t>energa</t>
  </si>
  <si>
    <t>e-fitness</t>
  </si>
  <si>
    <t>rafał</t>
  </si>
  <si>
    <t>wydatki devin 800$</t>
  </si>
  <si>
    <t>zakupy</t>
  </si>
  <si>
    <t>marche</t>
  </si>
  <si>
    <t>ping pong</t>
  </si>
  <si>
    <t>empik</t>
  </si>
  <si>
    <t>chix</t>
  </si>
  <si>
    <t>zaba</t>
  </si>
  <si>
    <t>yatta</t>
  </si>
  <si>
    <t>boba</t>
  </si>
  <si>
    <t>starbucks</t>
  </si>
  <si>
    <t>parking</t>
  </si>
  <si>
    <t>helios</t>
  </si>
  <si>
    <t>zabka</t>
  </si>
  <si>
    <t>ortodonta</t>
  </si>
  <si>
    <t>google drive</t>
  </si>
  <si>
    <t>strona</t>
  </si>
  <si>
    <t>mielnik</t>
  </si>
  <si>
    <t>fart</t>
  </si>
  <si>
    <t>eurodent</t>
  </si>
  <si>
    <t>lego</t>
  </si>
  <si>
    <t>sushi express</t>
  </si>
  <si>
    <t>gra steam</t>
  </si>
  <si>
    <t>burrito</t>
  </si>
  <si>
    <t>the fry</t>
  </si>
  <si>
    <t>primo piatto</t>
  </si>
  <si>
    <t>mcd</t>
  </si>
  <si>
    <t>kopernik</t>
  </si>
  <si>
    <t>kawiarnia</t>
  </si>
  <si>
    <t>koreanskie</t>
  </si>
  <si>
    <t>benza</t>
  </si>
  <si>
    <t>opony przeglad</t>
  </si>
  <si>
    <t>okresowy</t>
  </si>
  <si>
    <t>dentysta neli</t>
  </si>
  <si>
    <t>aparat neli</t>
  </si>
  <si>
    <t>dentysta marta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</si>
</sst>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#,##0\ [$zł-415]"/>
    <numFmt numFmtId="165" formatCode="mmmm&quot; &quot;yyyy"/>
    <numFmt numFmtId="166" formatCode="&quot;$&quot;#,##0"/>
    <numFmt numFmtId="167" formatCode="+#,#%;-#,#%;0%"/>
    <numFmt numFmtId="168" formatCode="+#,##0\ [$zł-415]"/>
    <numFmt numFmtId="169" formatCode="+$#,#;-$#,#;$0"/>
    <numFmt numFmtId="170" formatCode="dd&quot;.&quot;mm&quot;.&quot;yyyy"/>
  </numFmts>
  <fonts count="49">
    <font>
      <sz val="10.0"/>
      <color rgb="FF000000"/>
      <name val="Arial"/>
    </font>
    <font>
      <sz val="10.0"/>
      <name val="Arial"/>
    </font>
    <font>
      <sz val="9.0"/>
      <color rgb="FFFFFFFF"/>
      <name val="Arial"/>
    </font>
    <font>
      <b/>
      <sz val="9.0"/>
      <color rgb="FFFFFFFF"/>
      <name val="Arial"/>
    </font>
    <font>
      <sz val="9.0"/>
      <color rgb="FFCCCCCC"/>
      <name val="Arial"/>
    </font>
    <font>
      <sz val="10.0"/>
      <color rgb="FFCCCCCC"/>
      <name val="Arial"/>
    </font>
    <font>
      <i/>
      <sz val="10.0"/>
      <color rgb="FF334960"/>
      <name val="Arial"/>
    </font>
    <font>
      <i/>
      <sz val="10.0"/>
      <color rgb="FFCCCCCC"/>
      <name val="Arial"/>
    </font>
    <font>
      <name val="Arial"/>
    </font>
    <font>
      <sz val="10.0"/>
      <color rgb="FF334960"/>
      <name val="Arial"/>
    </font>
    <font>
      <sz val="10.0"/>
      <color rgb="FFF46524"/>
      <name val="Arial"/>
    </font>
    <font>
      <b/>
      <sz val="25.0"/>
      <color rgb="FFF46524"/>
      <name val="Roboto"/>
    </font>
    <font>
      <color rgb="FF334960"/>
      <name val="Arial"/>
    </font>
    <font>
      <b/>
      <sz val="10.0"/>
      <color rgb="FF334960"/>
      <name val="Arial"/>
    </font>
    <font>
      <b/>
      <sz val="25.0"/>
      <color rgb="FF334960"/>
      <name val="Arial"/>
    </font>
    <font>
      <b/>
      <sz val="10.0"/>
      <name val="Arial"/>
    </font>
    <font/>
    <font>
      <sz val="24.0"/>
      <color rgb="FF334960"/>
      <name val="Arial"/>
    </font>
    <font>
      <b/>
      <sz val="24.0"/>
      <color rgb="FF334960"/>
      <name val="Arial"/>
    </font>
    <font>
      <i/>
      <sz val="10.0"/>
      <color rgb="FF576475"/>
      <name val="Arial"/>
    </font>
    <font>
      <b/>
      <name val="Arial"/>
    </font>
    <font>
      <b/>
      <sz val="14.0"/>
      <color rgb="FF334960"/>
      <name val="Arial"/>
    </font>
    <font>
      <b/>
      <sz val="14.0"/>
      <color rgb="FFF46524"/>
      <name val="Arial"/>
    </font>
    <font>
      <i/>
      <sz val="10.0"/>
      <color rgb="FFF46524"/>
      <name val="Arial"/>
    </font>
    <font>
      <sz val="14.0"/>
      <name val="Arial"/>
    </font>
    <font>
      <sz val="10.0"/>
      <color rgb="FF576475"/>
      <name val="Arial"/>
    </font>
    <font>
      <b/>
      <sz val="10.0"/>
      <color rgb="FF576475"/>
      <name val="Arial"/>
    </font>
    <font>
      <b/>
      <color rgb="FF334960"/>
      <name val="Arial"/>
    </font>
    <font>
      <b/>
      <sz val="10.0"/>
      <color rgb="FF666666"/>
      <name val="Arial"/>
    </font>
    <font>
      <sz val="10.0"/>
      <color rgb="FF666666"/>
      <name val="Arial"/>
    </font>
    <font>
      <b/>
      <sz val="10.0"/>
      <color rgb="FFF46524"/>
      <name val="Arial"/>
    </font>
    <font>
      <b/>
      <sz val="17.0"/>
      <color rgb="FFF46524"/>
      <name val="Roboto"/>
    </font>
    <font>
      <b/>
      <sz val="18.0"/>
      <color rgb="FFF46524"/>
      <name val="Roboto"/>
    </font>
    <font>
      <b/>
      <sz val="18.0"/>
      <color rgb="FFF46524"/>
      <name val="Arial"/>
    </font>
    <font>
      <b/>
      <sz val="11.0"/>
      <color rgb="FF334960"/>
      <name val="Arial"/>
    </font>
    <font>
      <b/>
      <sz val="17.0"/>
      <color rgb="FF334960"/>
      <name val="Arial"/>
    </font>
    <font>
      <b/>
      <sz val="18.0"/>
      <color rgb="FF334960"/>
      <name val="Arial"/>
    </font>
    <font>
      <sz val="18.0"/>
      <color rgb="FF334960"/>
      <name val="Arial"/>
    </font>
    <font>
      <i/>
      <sz val="9.0"/>
      <color rgb="FF687887"/>
      <name val="Arial"/>
    </font>
    <font>
      <b/>
      <sz val="10.0"/>
      <color rgb="FF434343"/>
      <name val="Arial"/>
    </font>
    <font>
      <sz val="10.0"/>
      <color rgb="FF434343"/>
      <name val="Arial"/>
    </font>
    <font>
      <sz val="10.0"/>
      <color rgb="FF687887"/>
      <name val="Arial"/>
    </font>
    <font>
      <b/>
      <color rgb="FF434343"/>
      <name val="Arial"/>
    </font>
    <font>
      <color rgb="FF434343"/>
      <name val="Arial"/>
    </font>
    <font>
      <i/>
      <sz val="10.0"/>
      <color rgb="FF708090"/>
      <name val="Arial"/>
    </font>
    <font>
      <sz val="10.0"/>
      <color rgb="FF556376"/>
      <name val="Arial"/>
    </font>
    <font>
      <color rgb="FF687887"/>
      <name val="Arial"/>
    </font>
    <font>
      <color rgb="FF556376"/>
      <name val="Arial"/>
    </font>
    <font>
      <color rgb="FF576475"/>
      <name val="Arial"/>
    </font>
  </fonts>
  <fills count="8">
    <fill>
      <patternFill patternType="none"/>
    </fill>
    <fill>
      <patternFill patternType="lightGray"/>
    </fill>
    <fill>
      <patternFill patternType="solid">
        <fgColor rgb="FF334960"/>
        <bgColor rgb="FF334960"/>
      </patternFill>
    </fill>
    <fill>
      <patternFill patternType="solid">
        <fgColor rgb="FFFFF2ED"/>
        <bgColor rgb="FFFFF2ED"/>
      </patternFill>
    </fill>
    <fill>
      <patternFill patternType="solid">
        <fgColor rgb="FFFFFFFF"/>
        <bgColor rgb="FFFFFFFF"/>
      </patternFill>
    </fill>
    <fill>
      <patternFill patternType="solid">
        <fgColor rgb="FFEBEDEF"/>
        <bgColor rgb="FFEBEDEF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</fills>
  <borders count="27">
    <border/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right style="dotted">
        <color rgb="FFB7B7B7"/>
      </right>
    </border>
    <border>
      <left style="thin">
        <color rgb="FFD9D9D9"/>
      </left>
    </border>
    <border>
      <right style="thin">
        <color rgb="FFD9D9D9"/>
      </right>
    </border>
    <border>
      <bottom style="dotted">
        <color rgb="FFB7B7B7"/>
      </bottom>
    </border>
    <border>
      <left style="thin">
        <color rgb="FFD9D9D9"/>
      </left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bottom style="thin">
        <color rgb="FFFFFFFF"/>
      </bottom>
    </border>
    <border>
      <top style="thin">
        <color rgb="FFA7B0BF"/>
      </top>
    </border>
    <border>
      <bottom style="thin">
        <color rgb="FFA7B0BF"/>
      </bottom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bottom style="thin">
        <color rgb="FFCCCCCC"/>
      </bottom>
    </border>
    <border>
      <bottom style="hair">
        <color rgb="FFD9D9D9"/>
      </bottom>
    </border>
    <border>
      <top style="hair">
        <color rgb="FFD9D9D9"/>
      </top>
      <bottom style="hair">
        <color rgb="FFD9D9D9"/>
      </bottom>
    </border>
    <border>
      <top style="hair">
        <color rgb="FFD9D9D9"/>
      </top>
    </border>
  </borders>
  <cellStyleXfs count="1">
    <xf borderId="0" fillId="0" fontId="0" numFmtId="0" applyAlignment="1" applyFont="1"/>
  </cellStyleXfs>
  <cellXfs count="15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horizontal="right" vertical="bottom"/>
    </xf>
    <xf borderId="0" fillId="2" fontId="2" numFmtId="0" xfId="0" applyAlignment="1" applyFont="1">
      <alignment shrinkToFit="0" vertical="center" wrapText="1"/>
    </xf>
    <xf borderId="0" fillId="2" fontId="3" numFmtId="0" xfId="0" applyAlignment="1" applyFont="1">
      <alignment readingOrder="0" shrinkToFit="0" vertical="center" wrapText="1"/>
    </xf>
    <xf borderId="0" fillId="2" fontId="3" numFmtId="0" xfId="0" applyAlignment="1" applyFont="1">
      <alignment horizontal="left" readingOrder="0" shrinkToFit="0" vertical="center" wrapText="1"/>
    </xf>
    <xf borderId="0" fillId="2" fontId="4" numFmtId="0" xfId="0" applyAlignment="1" applyFont="1">
      <alignment shrinkToFit="0" vertical="top" wrapText="1"/>
    </xf>
    <xf borderId="0" fillId="2" fontId="5" numFmtId="0" xfId="0" applyAlignment="1" applyFont="1">
      <alignment horizontal="left" readingOrder="0" shrinkToFit="0" vertical="top" wrapText="1"/>
    </xf>
    <xf borderId="0" fillId="2" fontId="4" numFmtId="0" xfId="0" applyAlignment="1" applyFont="1">
      <alignment horizontal="left" readingOrder="0" shrinkToFit="0" vertical="top" wrapText="1"/>
    </xf>
    <xf borderId="0" fillId="3" fontId="6" numFmtId="0" xfId="0" applyAlignment="1" applyFill="1" applyFont="1">
      <alignment horizontal="left" readingOrder="0" shrinkToFit="0" vertical="center" wrapText="1"/>
    </xf>
    <xf borderId="0" fillId="2" fontId="5" numFmtId="0" xfId="0" applyAlignment="1" applyFont="1">
      <alignment shrinkToFit="0" vertical="top" wrapText="1"/>
    </xf>
    <xf borderId="0" fillId="2" fontId="7" numFmtId="0" xfId="0" applyAlignment="1" applyFont="1">
      <alignment horizontal="left" readingOrder="0" shrinkToFit="0" vertical="center" wrapText="1"/>
    </xf>
    <xf borderId="0" fillId="2" fontId="4" numFmtId="0" xfId="0" applyAlignment="1" applyFont="1">
      <alignment shrinkToFit="0" vertical="bottom" wrapText="1"/>
    </xf>
    <xf borderId="0" fillId="2" fontId="4" numFmtId="0" xfId="0" applyAlignment="1" applyFont="1">
      <alignment horizontal="left" readingOrder="0" shrinkToFit="0" vertical="bottom" wrapText="1"/>
    </xf>
    <xf borderId="0" fillId="2" fontId="8" numFmtId="0" xfId="0" applyFont="1"/>
    <xf borderId="0" fillId="0" fontId="1" numFmtId="0" xfId="0" applyAlignment="1" applyFont="1">
      <alignment vertical="bottom"/>
    </xf>
    <xf borderId="0" fillId="0" fontId="8" numFmtId="0" xfId="0" applyAlignment="1" applyFont="1">
      <alignment vertical="top"/>
    </xf>
    <xf borderId="0" fillId="0" fontId="1" numFmtId="0" xfId="0" applyAlignment="1" applyFont="1">
      <alignment vertical="top"/>
    </xf>
    <xf borderId="0" fillId="0" fontId="9" numFmtId="0" xfId="0" applyAlignment="1" applyFont="1">
      <alignment vertical="top"/>
    </xf>
    <xf borderId="0" fillId="0" fontId="9" numFmtId="0" xfId="0" applyAlignment="1" applyFont="1">
      <alignment horizontal="right" vertical="top"/>
    </xf>
    <xf borderId="0" fillId="0" fontId="10" numFmtId="0" xfId="0" applyAlignment="1" applyFont="1">
      <alignment vertical="top"/>
    </xf>
    <xf borderId="0" fillId="4" fontId="11" numFmtId="0" xfId="0" applyAlignment="1" applyFill="1" applyFont="1">
      <alignment horizontal="left" readingOrder="0" vertical="top"/>
    </xf>
    <xf borderId="0" fillId="0" fontId="12" numFmtId="0" xfId="0" applyAlignment="1" applyFont="1">
      <alignment vertical="top"/>
    </xf>
    <xf borderId="0" fillId="0" fontId="8" numFmtId="0" xfId="0" applyFont="1"/>
    <xf borderId="0" fillId="0" fontId="13" numFmtId="0" xfId="0" applyAlignment="1" applyFont="1">
      <alignment horizontal="right" readingOrder="0" vertical="center"/>
    </xf>
    <xf borderId="0" fillId="3" fontId="12" numFmtId="164" xfId="0" applyAlignment="1" applyFont="1" applyNumberFormat="1">
      <alignment readingOrder="0" vertical="center"/>
    </xf>
    <xf borderId="0" fillId="0" fontId="6" numFmtId="0" xfId="0" applyAlignment="1" applyFont="1">
      <alignment vertical="top"/>
    </xf>
    <xf borderId="0" fillId="4" fontId="14" numFmtId="165" xfId="0" applyAlignment="1" applyFont="1" applyNumberFormat="1">
      <alignment horizontal="left" vertical="top"/>
    </xf>
    <xf borderId="0" fillId="0" fontId="15" numFmtId="0" xfId="0" applyAlignment="1" applyFont="1">
      <alignment vertical="bottom"/>
    </xf>
    <xf borderId="0" fillId="0" fontId="1" numFmtId="0" xfId="0" applyAlignment="1" applyFont="1">
      <alignment horizontal="left" vertical="bottom"/>
    </xf>
    <xf borderId="1" fillId="5" fontId="8" numFmtId="0" xfId="0" applyBorder="1" applyFill="1" applyFont="1"/>
    <xf borderId="2" fillId="5" fontId="8" numFmtId="0" xfId="0" applyBorder="1" applyFont="1"/>
    <xf borderId="3" fillId="5" fontId="1" numFmtId="0" xfId="0" applyAlignment="1" applyBorder="1" applyFont="1">
      <alignment vertical="bottom"/>
    </xf>
    <xf borderId="4" fillId="0" fontId="1" numFmtId="166" xfId="0" applyAlignment="1" applyBorder="1" applyFont="1" applyNumberFormat="1">
      <alignment vertical="bottom"/>
    </xf>
    <xf borderId="5" fillId="5" fontId="8" numFmtId="0" xfId="0" applyBorder="1" applyFont="1"/>
    <xf borderId="0" fillId="5" fontId="8" numFmtId="0" xfId="0" applyFont="1"/>
    <xf borderId="6" fillId="5" fontId="8" numFmtId="0" xfId="0" applyBorder="1" applyFont="1"/>
    <xf borderId="0" fillId="0" fontId="1" numFmtId="166" xfId="0" applyAlignment="1" applyFont="1" applyNumberFormat="1">
      <alignment vertical="bottom"/>
    </xf>
    <xf borderId="4" fillId="0" fontId="16" numFmtId="0" xfId="0" applyBorder="1" applyFont="1"/>
    <xf borderId="0" fillId="5" fontId="17" numFmtId="167" xfId="0" applyAlignment="1" applyFont="1" applyNumberFormat="1">
      <alignment horizontal="center" readingOrder="0" shrinkToFit="0" vertical="bottom" wrapText="0"/>
    </xf>
    <xf borderId="0" fillId="0" fontId="18" numFmtId="0" xfId="0" applyAlignment="1" applyFont="1">
      <alignment horizontal="left" readingOrder="0" shrinkToFit="0" vertical="bottom" wrapText="0"/>
    </xf>
    <xf borderId="7" fillId="5" fontId="19" numFmtId="0" xfId="0" applyAlignment="1" applyBorder="1" applyFont="1">
      <alignment horizontal="center" readingOrder="0" shrinkToFit="0" vertical="top" wrapText="0"/>
    </xf>
    <xf borderId="7" fillId="0" fontId="16" numFmtId="0" xfId="0" applyBorder="1" applyFont="1"/>
    <xf borderId="0" fillId="0" fontId="18" numFmtId="9" xfId="0" applyAlignment="1" applyFont="1" applyNumberFormat="1">
      <alignment horizontal="left" readingOrder="0" shrinkToFit="0" vertical="bottom" wrapText="0"/>
    </xf>
    <xf borderId="0" fillId="5" fontId="17" numFmtId="164" xfId="0" applyAlignment="1" applyFont="1" applyNumberFormat="1">
      <alignment horizontal="center" readingOrder="0" shrinkToFit="0" vertical="bottom" wrapText="0"/>
    </xf>
    <xf borderId="6" fillId="5" fontId="8" numFmtId="0" xfId="0" applyAlignment="1" applyBorder="1" applyFont="1">
      <alignment shrinkToFit="0" wrapText="0"/>
    </xf>
    <xf borderId="0" fillId="0" fontId="20" numFmtId="0" xfId="0" applyFont="1"/>
    <xf borderId="4" fillId="0" fontId="21" numFmtId="0" xfId="0" applyAlignment="1" applyBorder="1" applyFont="1">
      <alignment horizontal="right" readingOrder="0" vertical="bottom"/>
    </xf>
    <xf borderId="0" fillId="0" fontId="22" numFmtId="166" xfId="0" applyAlignment="1" applyFont="1" applyNumberFormat="1">
      <alignment horizontal="left" readingOrder="0" vertical="bottom"/>
    </xf>
    <xf borderId="0" fillId="0" fontId="15" numFmtId="166" xfId="0" applyAlignment="1" applyFont="1" applyNumberFormat="1">
      <alignment vertical="bottom"/>
    </xf>
    <xf borderId="0" fillId="5" fontId="19" numFmtId="9" xfId="0" applyAlignment="1" applyFont="1" applyNumberFormat="1">
      <alignment horizontal="center" readingOrder="0" shrinkToFit="0" vertical="top" wrapText="0"/>
    </xf>
    <xf borderId="0" fillId="0" fontId="19" numFmtId="0" xfId="0" applyAlignment="1" applyFont="1">
      <alignment horizontal="left" readingOrder="0" shrinkToFit="0" vertical="top" wrapText="0"/>
    </xf>
    <xf borderId="4" fillId="0" fontId="19" numFmtId="164" xfId="0" applyAlignment="1" applyBorder="1" applyFont="1" applyNumberFormat="1">
      <alignment horizontal="center" readingOrder="0" vertical="top"/>
    </xf>
    <xf borderId="0" fillId="0" fontId="23" numFmtId="164" xfId="0" applyAlignment="1" applyFont="1" applyNumberFormat="1">
      <alignment horizontal="center" readingOrder="0" vertical="top"/>
    </xf>
    <xf borderId="0" fillId="0" fontId="8" numFmtId="0" xfId="0" applyAlignment="1" applyFont="1">
      <alignment vertical="center"/>
    </xf>
    <xf borderId="8" fillId="5" fontId="8" numFmtId="0" xfId="0" applyBorder="1" applyFont="1"/>
    <xf borderId="9" fillId="5" fontId="8" numFmtId="0" xfId="0" applyBorder="1" applyFont="1"/>
    <xf borderId="9" fillId="5" fontId="8" numFmtId="0" xfId="0" applyAlignment="1" applyBorder="1" applyFont="1">
      <alignment readingOrder="0" vertical="top"/>
    </xf>
    <xf borderId="10" fillId="5" fontId="8" numFmtId="0" xfId="0" applyBorder="1" applyFont="1"/>
    <xf borderId="0" fillId="0" fontId="8" numFmtId="0" xfId="0" applyAlignment="1" applyFont="1">
      <alignment readingOrder="0" vertical="top"/>
    </xf>
    <xf borderId="0" fillId="0" fontId="24" numFmtId="0" xfId="0" applyAlignment="1" applyFont="1">
      <alignment vertical="center"/>
    </xf>
    <xf borderId="0" fillId="0" fontId="21" numFmtId="0" xfId="0" applyAlignment="1" applyFont="1">
      <alignment horizontal="left" readingOrder="0" vertical="center"/>
    </xf>
    <xf borderId="0" fillId="0" fontId="24" numFmtId="0" xfId="0" applyAlignment="1" applyFont="1">
      <alignment horizontal="right" vertical="center"/>
    </xf>
    <xf borderId="0" fillId="0" fontId="25" numFmtId="0" xfId="0" applyAlignment="1" applyFont="1">
      <alignment vertical="center"/>
    </xf>
    <xf borderId="0" fillId="0" fontId="26" numFmtId="0" xfId="0" applyAlignment="1" applyFont="1">
      <alignment horizontal="left" readingOrder="0" vertical="center"/>
    </xf>
    <xf borderId="0" fillId="0" fontId="25" numFmtId="164" xfId="0" applyAlignment="1" applyFont="1" applyNumberFormat="1">
      <alignment horizontal="right" vertical="center"/>
    </xf>
    <xf borderId="0" fillId="4" fontId="25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27" numFmtId="0" xfId="0" applyAlignment="1" applyFont="1">
      <alignment horizontal="left" readingOrder="0" vertical="center"/>
    </xf>
    <xf borderId="0" fillId="0" fontId="9" numFmtId="164" xfId="0" applyAlignment="1" applyFont="1" applyNumberFormat="1">
      <alignment horizontal="right" readingOrder="0" vertical="center"/>
    </xf>
    <xf borderId="0" fillId="0" fontId="12" numFmtId="0" xfId="0" applyAlignment="1" applyFont="1">
      <alignment horizontal="left" vertical="center"/>
    </xf>
    <xf borderId="0" fillId="0" fontId="28" numFmtId="0" xfId="0" applyAlignment="1" applyFont="1">
      <alignment horizontal="left"/>
    </xf>
    <xf borderId="0" fillId="0" fontId="29" numFmtId="166" xfId="0" applyAlignment="1" applyFont="1" applyNumberFormat="1">
      <alignment horizontal="right"/>
    </xf>
    <xf borderId="0" fillId="4" fontId="1" numFmtId="0" xfId="0" applyAlignment="1" applyFont="1">
      <alignment vertical="bottom"/>
    </xf>
    <xf borderId="0" fillId="0" fontId="30" numFmtId="0" xfId="0" applyAlignment="1" applyFont="1">
      <alignment vertical="top"/>
    </xf>
    <xf borderId="0" fillId="0" fontId="31" numFmtId="0" xfId="0" applyAlignment="1" applyFont="1">
      <alignment horizontal="left" readingOrder="0" vertical="top"/>
    </xf>
    <xf borderId="0" fillId="0" fontId="20" numFmtId="0" xfId="0" applyAlignment="1" applyFont="1">
      <alignment vertical="top"/>
    </xf>
    <xf borderId="0" fillId="0" fontId="30" numFmtId="0" xfId="0" applyAlignment="1" applyFont="1">
      <alignment horizontal="right" vertical="top"/>
    </xf>
    <xf borderId="0" fillId="0" fontId="32" numFmtId="0" xfId="0" applyAlignment="1" applyFont="1">
      <alignment horizontal="left" readingOrder="0" vertical="top"/>
    </xf>
    <xf borderId="0" fillId="0" fontId="33" numFmtId="0" xfId="0" applyAlignment="1" applyFont="1">
      <alignment horizontal="left" vertical="top"/>
    </xf>
    <xf borderId="11" fillId="0" fontId="9" numFmtId="0" xfId="0" applyAlignment="1" applyBorder="1" applyFont="1">
      <alignment vertical="bottom"/>
    </xf>
    <xf borderId="12" fillId="0" fontId="34" numFmtId="0" xfId="0" applyAlignment="1" applyBorder="1" applyFont="1">
      <alignment horizontal="right" vertical="bottom"/>
    </xf>
    <xf borderId="12" fillId="0" fontId="35" numFmtId="0" xfId="0" applyAlignment="1" applyBorder="1" applyFont="1">
      <alignment horizontal="left" vertical="bottom"/>
    </xf>
    <xf borderId="12" fillId="0" fontId="34" numFmtId="0" xfId="0" applyAlignment="1" applyBorder="1" applyFont="1">
      <alignment horizontal="right" readingOrder="0" vertical="bottom"/>
    </xf>
    <xf borderId="11" fillId="0" fontId="9" numFmtId="0" xfId="0" applyAlignment="1" applyBorder="1" applyFont="1">
      <alignment horizontal="right" vertical="bottom"/>
    </xf>
    <xf borderId="12" fillId="0" fontId="36" numFmtId="0" xfId="0" applyAlignment="1" applyBorder="1" applyFont="1">
      <alignment horizontal="left" vertical="bottom"/>
    </xf>
    <xf borderId="12" fillId="0" fontId="37" numFmtId="0" xfId="0" applyAlignment="1" applyBorder="1" applyFont="1">
      <alignment horizontal="left" vertical="bottom"/>
    </xf>
    <xf borderId="0" fillId="0" fontId="38" numFmtId="0" xfId="0" applyAlignment="1" applyFont="1">
      <alignment vertical="top"/>
    </xf>
    <xf borderId="13" fillId="0" fontId="38" numFmtId="0" xfId="0" applyAlignment="1" applyBorder="1" applyFont="1">
      <alignment readingOrder="0" vertical="top"/>
    </xf>
    <xf borderId="13" fillId="0" fontId="38" numFmtId="0" xfId="0" applyAlignment="1" applyBorder="1" applyFont="1">
      <alignment vertical="top"/>
    </xf>
    <xf borderId="13" fillId="0" fontId="38" numFmtId="164" xfId="0" applyAlignment="1" applyBorder="1" applyFont="1" applyNumberFormat="1">
      <alignment horizontal="right" vertical="top"/>
    </xf>
    <xf borderId="0" fillId="0" fontId="38" numFmtId="0" xfId="0" applyAlignment="1" applyFont="1">
      <alignment horizontal="right" vertical="top"/>
    </xf>
    <xf borderId="13" fillId="0" fontId="38" numFmtId="0" xfId="0" applyAlignment="1" applyBorder="1" applyFont="1">
      <alignment horizontal="left" readingOrder="0" vertical="top"/>
    </xf>
    <xf borderId="13" fillId="0" fontId="38" numFmtId="0" xfId="0" applyAlignment="1" applyBorder="1" applyFont="1">
      <alignment horizontal="right" readingOrder="0" vertical="top"/>
    </xf>
    <xf borderId="13" fillId="0" fontId="38" numFmtId="168" xfId="0" applyAlignment="1" applyBorder="1" applyFont="1" applyNumberFormat="1">
      <alignment horizontal="right" vertical="top"/>
    </xf>
    <xf borderId="0" fillId="0" fontId="9" numFmtId="0" xfId="0" applyAlignment="1" applyFont="1">
      <alignment vertical="center"/>
    </xf>
    <xf borderId="14" fillId="0" fontId="39" numFmtId="166" xfId="0" applyAlignment="1" applyBorder="1" applyFont="1" applyNumberFormat="1">
      <alignment readingOrder="0" vertical="center"/>
    </xf>
    <xf borderId="15" fillId="0" fontId="16" numFmtId="0" xfId="0" applyBorder="1" applyFont="1"/>
    <xf borderId="16" fillId="0" fontId="40" numFmtId="164" xfId="0" applyAlignment="1" applyBorder="1" applyFont="1" applyNumberFormat="1">
      <alignment horizontal="right" readingOrder="0" vertical="center"/>
    </xf>
    <xf borderId="0" fillId="0" fontId="40" numFmtId="164" xfId="0" applyAlignment="1" applyFont="1" applyNumberFormat="1">
      <alignment horizontal="right" vertical="center"/>
    </xf>
    <xf borderId="0" fillId="0" fontId="9" numFmtId="0" xfId="0" applyAlignment="1" applyFont="1">
      <alignment horizontal="right" vertical="center"/>
    </xf>
    <xf borderId="17" fillId="0" fontId="39" numFmtId="166" xfId="0" applyAlignment="1" applyBorder="1" applyFont="1" applyNumberFormat="1">
      <alignment vertical="center"/>
    </xf>
    <xf borderId="18" fillId="0" fontId="16" numFmtId="0" xfId="0" applyBorder="1" applyFont="1"/>
    <xf borderId="19" fillId="0" fontId="40" numFmtId="164" xfId="0" applyAlignment="1" applyBorder="1" applyFont="1" applyNumberFormat="1">
      <alignment horizontal="right" readingOrder="0" vertical="center"/>
    </xf>
    <xf borderId="20" fillId="0" fontId="39" numFmtId="166" xfId="0" applyAlignment="1" applyBorder="1" applyFont="1" applyNumberFormat="1">
      <alignment readingOrder="0" vertical="center"/>
    </xf>
    <xf borderId="21" fillId="0" fontId="16" numFmtId="0" xfId="0" applyBorder="1" applyFont="1"/>
    <xf borderId="22" fillId="0" fontId="40" numFmtId="164" xfId="0" applyAlignment="1" applyBorder="1" applyFont="1" applyNumberFormat="1">
      <alignment horizontal="right" readingOrder="0" vertical="center"/>
    </xf>
    <xf borderId="0" fillId="0" fontId="41" numFmtId="164" xfId="0" applyAlignment="1" applyFont="1" applyNumberFormat="1">
      <alignment horizontal="right" vertical="center"/>
    </xf>
    <xf borderId="0" fillId="0" fontId="41" numFmtId="168" xfId="0" applyAlignment="1" applyFont="1" applyNumberFormat="1">
      <alignment horizontal="right" vertical="center"/>
    </xf>
    <xf borderId="0" fillId="0" fontId="1" numFmtId="0" xfId="0" applyAlignment="1" applyFont="1">
      <alignment horizontal="right" vertical="center"/>
    </xf>
    <xf borderId="22" fillId="0" fontId="40" numFmtId="164" xfId="0" applyAlignment="1" applyBorder="1" applyFont="1" applyNumberFormat="1">
      <alignment readingOrder="0" vertical="center"/>
    </xf>
    <xf borderId="0" fillId="0" fontId="1" numFmtId="14" xfId="0" applyAlignment="1" applyFont="1" applyNumberFormat="1">
      <alignment horizontal="right" vertical="center"/>
    </xf>
    <xf borderId="20" fillId="0" fontId="42" numFmtId="0" xfId="0" applyAlignment="1" applyBorder="1" applyFont="1">
      <alignment readingOrder="0"/>
    </xf>
    <xf borderId="22" fillId="0" fontId="43" numFmtId="166" xfId="0" applyAlignment="1" applyBorder="1" applyFont="1" applyNumberFormat="1">
      <alignment readingOrder="0"/>
    </xf>
    <xf borderId="0" fillId="0" fontId="40" numFmtId="166" xfId="0" applyAlignment="1" applyFont="1" applyNumberFormat="1">
      <alignment horizontal="right" vertical="center"/>
    </xf>
    <xf borderId="0" fillId="0" fontId="41" numFmtId="169" xfId="0" applyAlignment="1" applyFont="1" applyNumberFormat="1">
      <alignment horizontal="right" vertical="center"/>
    </xf>
    <xf borderId="22" fillId="0" fontId="40" numFmtId="164" xfId="0" applyAlignment="1" applyBorder="1" applyFont="1" applyNumberFormat="1">
      <alignment horizontal="right" readingOrder="0"/>
    </xf>
    <xf borderId="22" fillId="0" fontId="39" numFmtId="166" xfId="0" applyAlignment="1" applyBorder="1" applyFont="1" applyNumberFormat="1">
      <alignment readingOrder="0" vertical="center"/>
    </xf>
    <xf borderId="22" fillId="0" fontId="40" numFmtId="166" xfId="0" applyAlignment="1" applyBorder="1" applyFont="1" applyNumberFormat="1">
      <alignment horizontal="right" readingOrder="0"/>
    </xf>
    <xf borderId="22" fillId="0" fontId="42" numFmtId="0" xfId="0" applyAlignment="1" applyBorder="1" applyFont="1">
      <alignment readingOrder="0"/>
    </xf>
    <xf borderId="22" fillId="0" fontId="40" numFmtId="166" xfId="0" applyAlignment="1" applyBorder="1" applyFont="1" applyNumberFormat="1">
      <alignment horizontal="right" readingOrder="0" vertical="center"/>
    </xf>
    <xf borderId="0" fillId="2" fontId="44" numFmtId="0" xfId="0" applyAlignment="1" applyFont="1">
      <alignment vertical="center"/>
    </xf>
    <xf borderId="0" fillId="0" fontId="10" numFmtId="0" xfId="0" applyAlignment="1" applyFont="1">
      <alignment vertical="bottom"/>
    </xf>
    <xf borderId="0" fillId="0" fontId="32" numFmtId="0" xfId="0" applyAlignment="1" applyFont="1">
      <alignment horizontal="left" readingOrder="0" vertical="bottom"/>
    </xf>
    <xf borderId="23" fillId="0" fontId="1" numFmtId="0" xfId="0" applyAlignment="1" applyBorder="1" applyFont="1">
      <alignment vertical="bottom"/>
    </xf>
    <xf borderId="0" fillId="0" fontId="34" numFmtId="0" xfId="0" applyAlignment="1" applyFont="1">
      <alignment horizontal="left" readingOrder="0" vertical="center"/>
    </xf>
    <xf borderId="24" fillId="0" fontId="41" numFmtId="170" xfId="0" applyAlignment="1" applyBorder="1" applyFont="1" applyNumberFormat="1">
      <alignment horizontal="left" readingOrder="0" vertical="center"/>
    </xf>
    <xf borderId="24" fillId="6" fontId="25" numFmtId="164" xfId="0" applyAlignment="1" applyBorder="1" applyFill="1" applyFont="1" applyNumberFormat="1">
      <alignment horizontal="left" readingOrder="0" vertical="center"/>
    </xf>
    <xf borderId="25" fillId="0" fontId="45" numFmtId="0" xfId="0" applyAlignment="1" applyBorder="1" applyFont="1">
      <alignment horizontal="left" readingOrder="0" vertical="center"/>
    </xf>
    <xf borderId="25" fillId="0" fontId="41" numFmtId="0" xfId="0" applyAlignment="1" applyBorder="1" applyFont="1">
      <alignment horizontal="left" readingOrder="0" vertical="center"/>
    </xf>
    <xf borderId="24" fillId="0" fontId="41" numFmtId="0" xfId="0" applyAlignment="1" applyBorder="1" applyFont="1">
      <alignment horizontal="left" readingOrder="0" vertical="center"/>
    </xf>
    <xf borderId="24" fillId="0" fontId="26" numFmtId="164" xfId="0" applyAlignment="1" applyBorder="1" applyFont="1" applyNumberFormat="1">
      <alignment horizontal="left" readingOrder="0" vertical="center"/>
    </xf>
    <xf borderId="24" fillId="0" fontId="25" numFmtId="0" xfId="0" applyAlignment="1" applyBorder="1" applyFont="1">
      <alignment horizontal="left" readingOrder="0" vertical="center"/>
    </xf>
    <xf borderId="24" fillId="0" fontId="25" numFmtId="164" xfId="0" applyAlignment="1" applyBorder="1" applyFont="1" applyNumberFormat="1">
      <alignment horizontal="left" readingOrder="0" vertical="center"/>
    </xf>
    <xf borderId="25" fillId="0" fontId="25" numFmtId="0" xfId="0" applyAlignment="1" applyBorder="1" applyFont="1">
      <alignment horizontal="left" readingOrder="0" vertical="center"/>
    </xf>
    <xf borderId="24" fillId="7" fontId="25" numFmtId="164" xfId="0" applyAlignment="1" applyBorder="1" applyFill="1" applyFont="1" applyNumberFormat="1">
      <alignment horizontal="left" readingOrder="0" vertical="center"/>
    </xf>
    <xf borderId="25" fillId="0" fontId="25" numFmtId="0" xfId="0" applyAlignment="1" applyBorder="1" applyFont="1">
      <alignment horizontal="left" vertical="center"/>
    </xf>
    <xf borderId="25" fillId="0" fontId="41" numFmtId="0" xfId="0" applyAlignment="1" applyBorder="1" applyFont="1">
      <alignment horizontal="left" vertical="center"/>
    </xf>
    <xf borderId="25" fillId="0" fontId="46" numFmtId="0" xfId="0" applyAlignment="1" applyBorder="1" applyFont="1">
      <alignment readingOrder="0"/>
    </xf>
    <xf borderId="25" fillId="0" fontId="47" numFmtId="0" xfId="0" applyAlignment="1" applyBorder="1" applyFont="1">
      <alignment readingOrder="0"/>
    </xf>
    <xf borderId="26" fillId="0" fontId="45" numFmtId="0" xfId="0" applyAlignment="1" applyBorder="1" applyFont="1">
      <alignment horizontal="left" readingOrder="0" vertical="center"/>
    </xf>
    <xf borderId="26" fillId="0" fontId="41" numFmtId="0" xfId="0" applyAlignment="1" applyBorder="1" applyFont="1">
      <alignment horizontal="left" readingOrder="0" vertical="center"/>
    </xf>
    <xf borderId="25" fillId="0" fontId="8" numFmtId="170" xfId="0" applyBorder="1" applyFont="1" applyNumberFormat="1"/>
    <xf borderId="0" fillId="4" fontId="48" numFmtId="0" xfId="0" applyAlignment="1" applyFont="1">
      <alignment horizontal="left" readingOrder="0"/>
    </xf>
    <xf borderId="25" fillId="0" fontId="8" numFmtId="0" xfId="0" applyAlignment="1" applyBorder="1" applyFont="1">
      <alignment readingOrder="0"/>
    </xf>
    <xf borderId="0" fillId="0" fontId="8" numFmtId="0" xfId="0" applyFont="1"/>
    <xf borderId="25" fillId="0" fontId="8" numFmtId="164" xfId="0" applyBorder="1" applyFont="1" applyNumberFormat="1"/>
    <xf borderId="25" fillId="0" fontId="8" numFmtId="0" xfId="0" applyBorder="1" applyFont="1"/>
    <xf borderId="24" fillId="0" fontId="8" numFmtId="0" xfId="0" applyAlignment="1" applyBorder="1" applyFont="1">
      <alignment readingOrder="0"/>
    </xf>
    <xf borderId="24" fillId="0" fontId="8" numFmtId="170" xfId="0" applyBorder="1" applyFont="1" applyNumberFormat="1"/>
    <xf borderId="24" fillId="0" fontId="8" numFmtId="164" xfId="0" applyBorder="1" applyFont="1" applyNumberFormat="1"/>
    <xf borderId="24" fillId="0" fontId="8" numFmtId="0" xfId="0" applyBorder="1" applyFont="1"/>
    <xf borderId="24" fillId="0" fontId="8" numFmtId="0" xfId="0" applyAlignment="1" applyBorder="1" applyFont="1">
      <alignment readingOrder="0"/>
    </xf>
    <xf borderId="0" fillId="0" fontId="16" numFmtId="0" xfId="0" applyAlignment="1" applyFont="1">
      <alignment readingOrder="0"/>
    </xf>
    <xf borderId="24" fillId="0" fontId="29" numFmtId="164" xfId="0" applyAlignment="1" applyBorder="1" applyFont="1" applyNumberFormat="1">
      <alignment horizontal="left" readingOrder="0" vertical="center"/>
    </xf>
    <xf borderId="0" fillId="0" fontId="8" numFmtId="170" xfId="0" applyFont="1" applyNumberFormat="1"/>
    <xf borderId="0" fillId="0" fontId="8" numFmtId="164" xfId="0" applyFont="1" applyNumberFormat="1"/>
  </cellXfs>
  <cellStyles count="1">
    <cellStyle xfId="0" name="Normal" builtinId="0"/>
  </cellStyles>
  <dxfs count="3">
    <dxf>
      <font/>
      <fill>
        <patternFill patternType="solid">
          <fgColor rgb="FFFCECE6"/>
          <bgColor rgb="FFFCECE6"/>
        </patternFill>
      </fill>
      <border/>
    </dxf>
    <dxf>
      <font>
        <color rgb="FFC53929"/>
      </font>
      <fill>
        <patternFill patternType="none"/>
      </fill>
      <border/>
    </dxf>
    <dxf>
      <font>
        <color rgb="FF687887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13"/>
    <col customWidth="1" min="2" max="12" width="11.38"/>
    <col customWidth="1" min="13" max="13" width="6.13"/>
  </cols>
  <sheetData>
    <row r="1" ht="12.0" customHeight="1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1"/>
      <c r="M1" s="1"/>
    </row>
    <row r="2" ht="21.0" customHeight="1">
      <c r="A2" s="3"/>
      <c r="B2" s="4" t="s">
        <v>0</v>
      </c>
      <c r="I2" s="5" t="s">
        <v>1</v>
      </c>
      <c r="M2" s="3"/>
    </row>
    <row r="3" ht="16.5" customHeight="1">
      <c r="A3" s="6"/>
      <c r="B3" s="7" t="s">
        <v>2</v>
      </c>
      <c r="H3" s="8"/>
      <c r="I3" s="9" t="s">
        <v>3</v>
      </c>
      <c r="M3" s="10"/>
    </row>
    <row r="4" ht="10.5" customHeight="1">
      <c r="A4" s="6"/>
      <c r="H4" s="8"/>
      <c r="I4" s="11" t="s">
        <v>4</v>
      </c>
    </row>
    <row r="5">
      <c r="A5" s="6"/>
      <c r="B5" s="7" t="s">
        <v>5</v>
      </c>
      <c r="H5" s="8"/>
    </row>
    <row r="6" ht="23.25" customHeight="1">
      <c r="A6" s="12"/>
      <c r="H6" s="13"/>
      <c r="I6" s="14"/>
      <c r="J6" s="14"/>
      <c r="K6" s="14"/>
      <c r="L6" s="14"/>
      <c r="M6" s="14"/>
    </row>
    <row r="7" ht="30.0" customHeight="1">
      <c r="A7" s="15"/>
      <c r="B7" s="16"/>
      <c r="C7" s="16"/>
      <c r="D7" s="16"/>
      <c r="E7" s="17"/>
      <c r="F7" s="18"/>
      <c r="G7" s="19"/>
      <c r="H7" s="18"/>
      <c r="I7" s="18"/>
      <c r="J7" s="18"/>
      <c r="K7" s="18"/>
      <c r="L7" s="18"/>
      <c r="M7" s="18"/>
    </row>
    <row r="8" ht="18.0" customHeight="1">
      <c r="A8" s="20"/>
      <c r="B8" s="21" t="s">
        <v>6</v>
      </c>
      <c r="F8" s="18"/>
      <c r="G8" s="22"/>
      <c r="H8" s="18"/>
      <c r="I8" s="23"/>
      <c r="J8" s="24" t="s">
        <v>7</v>
      </c>
      <c r="L8" s="25">
        <v>0.0</v>
      </c>
      <c r="M8" s="18"/>
    </row>
    <row r="9" ht="18.0" customHeight="1">
      <c r="A9" s="20"/>
      <c r="F9" s="18"/>
      <c r="G9" s="22"/>
      <c r="H9" s="18"/>
      <c r="I9" s="26"/>
      <c r="J9" s="18"/>
      <c r="K9" s="18"/>
      <c r="L9" s="22"/>
      <c r="M9" s="18"/>
    </row>
    <row r="10" ht="18.0" customHeight="1">
      <c r="A10" s="18"/>
      <c r="B10" s="27"/>
      <c r="C10" s="27"/>
      <c r="D10" s="27"/>
      <c r="E10" s="27"/>
      <c r="F10" s="18"/>
      <c r="G10" s="22"/>
      <c r="H10" s="18"/>
      <c r="I10" s="26"/>
      <c r="J10" s="18"/>
      <c r="K10" s="18"/>
      <c r="L10" s="22"/>
      <c r="M10" s="18"/>
    </row>
    <row r="11" ht="12.0" customHeight="1">
      <c r="A11" s="15"/>
      <c r="B11" s="28"/>
      <c r="C11" s="28"/>
      <c r="D11" s="29"/>
      <c r="E11" s="15"/>
      <c r="F11" s="15"/>
      <c r="G11" s="23"/>
      <c r="H11" s="30"/>
      <c r="I11" s="31"/>
      <c r="J11" s="31"/>
      <c r="K11" s="31"/>
      <c r="L11" s="32"/>
      <c r="M11" s="15"/>
    </row>
    <row r="12" ht="18.0" customHeight="1">
      <c r="A12" s="23"/>
      <c r="B12" s="15"/>
      <c r="C12" s="23"/>
      <c r="D12" s="33" t="str">
        <f>IFERROR(__xludf.DUMMYFUNCTION("SPARKLINE(D17,{""charttype"",""column"";""ymin"", 0; ""ymax"",MAX(D17:E17);""firstcolor"",""#334960""})"),"")</f>
        <v/>
      </c>
      <c r="E12" s="15" t="str">
        <f>IFERROR(__xludf.DUMMYFUNCTION("SPARKLINE(E17,{""charttype"",""column"";""ymin"", 0; ""ymax"",max(D17:E17);""firstcolor"",""#f46524""})"),"")</f>
        <v/>
      </c>
      <c r="F12" s="15"/>
      <c r="G12" s="15"/>
      <c r="H12" s="34"/>
      <c r="I12" s="35"/>
      <c r="J12" s="35"/>
      <c r="K12" s="35"/>
      <c r="L12" s="36"/>
      <c r="M12" s="23"/>
    </row>
    <row r="13" ht="18.0" customHeight="1">
      <c r="A13" s="23"/>
      <c r="B13" s="15"/>
      <c r="C13" s="37"/>
      <c r="D13" s="38"/>
      <c r="F13" s="15"/>
      <c r="G13" s="15"/>
      <c r="H13" s="34"/>
      <c r="I13" s="39" t="str">
        <f>iferror(E17/D17-1, "")</f>
        <v/>
      </c>
      <c r="L13" s="36"/>
      <c r="M13" s="40"/>
    </row>
    <row r="14" ht="24.0" customHeight="1">
      <c r="A14" s="15"/>
      <c r="B14" s="15"/>
      <c r="C14" s="37"/>
      <c r="D14" s="38"/>
      <c r="F14" s="15"/>
      <c r="G14" s="15"/>
      <c r="H14" s="34"/>
      <c r="I14" s="41" t="str">
        <f>if(I13 &lt; 0, "Zwiększenie oszczędności", "Zmniejszenie oszczędności")</f>
        <v>Zmniejszenie oszczędności</v>
      </c>
      <c r="J14" s="42"/>
      <c r="K14" s="42"/>
      <c r="L14" s="36"/>
      <c r="M14" s="43"/>
    </row>
    <row r="15" ht="39.75" customHeight="1">
      <c r="A15" s="15"/>
      <c r="B15" s="15"/>
      <c r="C15" s="37"/>
      <c r="D15" s="38"/>
      <c r="F15" s="15"/>
      <c r="G15" s="37"/>
      <c r="H15" s="34"/>
      <c r="I15" s="44">
        <f>iferror(E17-D17, 0)</f>
        <v>904.01</v>
      </c>
      <c r="L15" s="45"/>
      <c r="M15" s="43"/>
    </row>
    <row r="16" ht="18.0" customHeight="1">
      <c r="A16" s="15"/>
      <c r="B16" s="28"/>
      <c r="C16" s="46"/>
      <c r="D16" s="47" t="s">
        <v>8</v>
      </c>
      <c r="E16" s="48" t="s">
        <v>9</v>
      </c>
      <c r="F16" s="46"/>
      <c r="G16" s="49"/>
      <c r="H16" s="34"/>
      <c r="I16" s="50" t="str">
        <f>if(J15&lt;0, "Wydane w tym miesiącu", "Zaoszczędzone w tym miesiącu")</f>
        <v>Zaoszczędzone w tym miesiącu</v>
      </c>
      <c r="L16" s="36"/>
      <c r="M16" s="51"/>
    </row>
    <row r="17" ht="18.0" customHeight="1">
      <c r="A17" s="23"/>
      <c r="B17" s="15"/>
      <c r="C17" s="23"/>
      <c r="D17" s="52">
        <f>if(isblank(L8),0,L8)</f>
        <v>0</v>
      </c>
      <c r="E17" s="53">
        <f>D17+(I22-C22)</f>
        <v>904.01</v>
      </c>
      <c r="F17" s="23"/>
      <c r="G17" s="37"/>
      <c r="H17" s="34"/>
      <c r="I17" s="35"/>
      <c r="L17" s="36"/>
      <c r="M17" s="23"/>
    </row>
    <row r="18" ht="12.0" customHeight="1">
      <c r="A18" s="23"/>
      <c r="B18" s="54"/>
      <c r="C18" s="54"/>
      <c r="D18" s="54"/>
      <c r="E18" s="54"/>
      <c r="F18" s="54"/>
      <c r="G18" s="23"/>
      <c r="H18" s="55"/>
      <c r="I18" s="56"/>
      <c r="J18" s="57"/>
      <c r="K18" s="56"/>
      <c r="L18" s="58"/>
      <c r="M18" s="23"/>
    </row>
    <row r="19" ht="24.0" customHeight="1">
      <c r="A19" s="23"/>
      <c r="B19" s="54"/>
      <c r="C19" s="54"/>
      <c r="D19" s="54"/>
      <c r="E19" s="54"/>
      <c r="F19" s="54"/>
      <c r="G19" s="23"/>
      <c r="H19" s="23"/>
      <c r="I19" s="23"/>
      <c r="J19" s="59"/>
      <c r="K19" s="23"/>
      <c r="L19" s="23"/>
      <c r="M19" s="23"/>
    </row>
    <row r="20" ht="24.0" customHeight="1">
      <c r="A20" s="60"/>
      <c r="B20" s="61" t="s">
        <v>10</v>
      </c>
      <c r="G20" s="60"/>
      <c r="H20" s="61" t="s">
        <v>11</v>
      </c>
      <c r="I20" s="61"/>
      <c r="J20" s="62"/>
      <c r="K20" s="60"/>
      <c r="L20" s="60"/>
      <c r="M20" s="60"/>
    </row>
    <row r="21" ht="19.5" customHeight="1">
      <c r="A21" s="63"/>
      <c r="B21" s="64" t="s">
        <v>12</v>
      </c>
      <c r="C21" s="65">
        <f>D26</f>
        <v>22650</v>
      </c>
      <c r="D21" s="66" t="str">
        <f>IFERROR(__xludf.DUMMYFUNCTION("SPARKLINE(C21,{""charttype"",""bar"";""max"",max(C21:C22);""color1"",""#AEB7C0""})"),"")</f>
        <v/>
      </c>
      <c r="G21" s="63"/>
      <c r="H21" s="64" t="s">
        <v>12</v>
      </c>
      <c r="I21" s="65">
        <f>J26</f>
        <v>28000</v>
      </c>
      <c r="J21" s="66" t="str">
        <f>IFERROR(__xludf.DUMMYFUNCTION("SPARKLINE(I21,{""charttype"",""bar"";""max"",max(I21:I22);""color1"",""#AEB7C0""})"),"")</f>
        <v/>
      </c>
      <c r="M21" s="63"/>
    </row>
    <row r="22" ht="19.5" customHeight="1">
      <c r="A22" s="67"/>
      <c r="B22" s="68" t="s">
        <v>13</v>
      </c>
      <c r="C22" s="69">
        <f>E26</f>
        <v>29095.99</v>
      </c>
      <c r="D22" s="70" t="str">
        <f>IFERROR(__xludf.DUMMYFUNCTION("SPARKLINE(C22,{""charttype"",""bar"";""max"",max(C21:C22);""color1"",""#334960""})"),"")</f>
        <v/>
      </c>
      <c r="G22" s="54"/>
      <c r="H22" s="68" t="s">
        <v>13</v>
      </c>
      <c r="I22" s="69">
        <f>K26</f>
        <v>30000</v>
      </c>
      <c r="J22" s="70" t="str">
        <f>IFERROR(__xludf.DUMMYFUNCTION("SPARKLINE(I22,{""charttype"",""bar"";""max"",max(I21:I22);""color1"",""#334960""})"),"")</f>
        <v/>
      </c>
      <c r="M22" s="67"/>
    </row>
    <row r="23" ht="30.0" customHeight="1">
      <c r="A23" s="15"/>
      <c r="B23" s="71"/>
      <c r="C23" s="72"/>
      <c r="D23" s="73"/>
      <c r="G23" s="15"/>
      <c r="H23" s="71"/>
      <c r="I23" s="72"/>
      <c r="J23" s="73"/>
      <c r="M23" s="67"/>
    </row>
    <row r="24" ht="29.25" customHeight="1">
      <c r="A24" s="74"/>
      <c r="B24" s="75" t="s">
        <v>10</v>
      </c>
      <c r="D24" s="76"/>
      <c r="E24" s="76"/>
      <c r="F24" s="76"/>
      <c r="G24" s="77"/>
      <c r="H24" s="78" t="s">
        <v>11</v>
      </c>
      <c r="I24" s="79"/>
      <c r="J24" s="76"/>
      <c r="K24" s="76"/>
      <c r="L24" s="76"/>
      <c r="M24" s="74"/>
    </row>
    <row r="25" ht="19.5" customHeight="1">
      <c r="A25" s="80"/>
      <c r="B25" s="81"/>
      <c r="C25" s="82"/>
      <c r="D25" s="83" t="s">
        <v>12</v>
      </c>
      <c r="E25" s="83" t="s">
        <v>13</v>
      </c>
      <c r="F25" s="83" t="s">
        <v>14</v>
      </c>
      <c r="G25" s="84"/>
      <c r="H25" s="85"/>
      <c r="I25" s="86"/>
      <c r="J25" s="83" t="s">
        <v>12</v>
      </c>
      <c r="K25" s="83" t="s">
        <v>13</v>
      </c>
      <c r="L25" s="83" t="s">
        <v>14</v>
      </c>
      <c r="M25" s="80"/>
    </row>
    <row r="26" ht="17.25" customHeight="1">
      <c r="A26" s="87"/>
      <c r="B26" s="88" t="s">
        <v>15</v>
      </c>
      <c r="C26" s="89"/>
      <c r="D26" s="90">
        <f t="shared" ref="D26:F26" si="1">sum(D27:D44)</f>
        <v>22650</v>
      </c>
      <c r="E26" s="90">
        <f t="shared" si="1"/>
        <v>29095.99</v>
      </c>
      <c r="F26" s="90">
        <f t="shared" si="1"/>
        <v>-6445.99</v>
      </c>
      <c r="G26" s="91"/>
      <c r="H26" s="92" t="s">
        <v>15</v>
      </c>
      <c r="I26" s="93"/>
      <c r="J26" s="90">
        <f t="shared" ref="J26:L26" si="2">sum(J27:J44)</f>
        <v>28000</v>
      </c>
      <c r="K26" s="90">
        <f t="shared" si="2"/>
        <v>30000</v>
      </c>
      <c r="L26" s="94">
        <f t="shared" si="2"/>
        <v>2000</v>
      </c>
      <c r="M26" s="87"/>
    </row>
    <row r="27" ht="18.0" hidden="1" customHeight="1">
      <c r="A27" s="95"/>
      <c r="B27" s="96"/>
      <c r="C27" s="97"/>
      <c r="D27" s="98"/>
      <c r="E27" s="99" t="str">
        <f>if(isblank($B27), "", sumif(Transakcje!$E:$E,$B27,Transakcje!$C:$C))</f>
        <v/>
      </c>
      <c r="F27" s="99" t="str">
        <f t="shared" ref="F27:F41" si="3">if(isblank($B27), "", D27-E27)</f>
        <v/>
      </c>
      <c r="G27" s="100"/>
      <c r="H27" s="101"/>
      <c r="I27" s="102"/>
      <c r="J27" s="103"/>
      <c r="K27" s="99" t="str">
        <f>if(isblank($H27), "", sumif(Transakcje!$J:$J,$H27,Transakcje!$H:$H))</f>
        <v/>
      </c>
      <c r="L27" s="99" t="str">
        <f t="shared" ref="L27:L41" si="4">if(isblank($H27), "", K27-J27)</f>
        <v/>
      </c>
      <c r="M27" s="95"/>
    </row>
    <row r="28" ht="18.0" customHeight="1">
      <c r="A28" s="95"/>
      <c r="B28" s="104" t="s">
        <v>16</v>
      </c>
      <c r="C28" s="105"/>
      <c r="D28" s="106">
        <v>1500.0</v>
      </c>
      <c r="E28" s="99">
        <f>if(isblank($B28), "", sumif(Transakcje!$E:$E,$B28,Transakcje!$C:$C))</f>
        <v>349</v>
      </c>
      <c r="F28" s="107">
        <f t="shared" si="3"/>
        <v>1151</v>
      </c>
      <c r="G28" s="100"/>
      <c r="H28" s="104" t="s">
        <v>17</v>
      </c>
      <c r="I28" s="105"/>
      <c r="J28" s="106">
        <v>0.0</v>
      </c>
      <c r="K28" s="99">
        <f>if(isblank($H28), "", sumif(Transakcje!$J:$J,$H28,Transakcje!$H:$H))</f>
        <v>0</v>
      </c>
      <c r="L28" s="107">
        <f t="shared" si="4"/>
        <v>0</v>
      </c>
      <c r="M28" s="95"/>
    </row>
    <row r="29" ht="18.0" customHeight="1">
      <c r="A29" s="95"/>
      <c r="B29" s="104" t="s">
        <v>18</v>
      </c>
      <c r="C29" s="105"/>
      <c r="D29" s="106">
        <v>14000.0</v>
      </c>
      <c r="E29" s="99">
        <f>if(isblank($B29), "", sumif(Transakcje!$E:$E,$B29,Transakcje!$C:$C))</f>
        <v>16986</v>
      </c>
      <c r="F29" s="107">
        <f t="shared" si="3"/>
        <v>-2986</v>
      </c>
      <c r="G29" s="100"/>
      <c r="H29" s="104" t="s">
        <v>19</v>
      </c>
      <c r="I29" s="105"/>
      <c r="J29" s="106">
        <v>28000.0</v>
      </c>
      <c r="K29" s="99">
        <f>if(isblank($H29), "", sumif(Transakcje!$J:$J,$H29,Transakcje!$H:$H))</f>
        <v>30000</v>
      </c>
      <c r="L29" s="108">
        <f t="shared" si="4"/>
        <v>2000</v>
      </c>
      <c r="M29" s="95"/>
    </row>
    <row r="30" ht="18.0" customHeight="1">
      <c r="A30" s="67"/>
      <c r="B30" s="104" t="s">
        <v>20</v>
      </c>
      <c r="C30" s="105"/>
      <c r="D30" s="106">
        <v>2000.0</v>
      </c>
      <c r="E30" s="99">
        <f>if(isblank($B30), "", sumif(Transakcje!$E:$E,$B30,Transakcje!$C:$C))</f>
        <v>1537</v>
      </c>
      <c r="F30" s="107">
        <f t="shared" si="3"/>
        <v>463</v>
      </c>
      <c r="G30" s="109"/>
      <c r="H30" s="104" t="s">
        <v>21</v>
      </c>
      <c r="I30" s="105"/>
      <c r="J30" s="106">
        <v>0.0</v>
      </c>
      <c r="K30" s="99">
        <f>if(isblank($H30), "", sumif(Transakcje!$J:$J,$H30,Transakcje!$H:$H))</f>
        <v>0</v>
      </c>
      <c r="L30" s="107">
        <f t="shared" si="4"/>
        <v>0</v>
      </c>
      <c r="M30" s="67"/>
    </row>
    <row r="31" ht="18.0" customHeight="1">
      <c r="A31" s="67"/>
      <c r="B31" s="104" t="s">
        <v>22</v>
      </c>
      <c r="C31" s="105"/>
      <c r="D31" s="106">
        <v>1500.0</v>
      </c>
      <c r="E31" s="99">
        <f>if(isblank($B31), "", sumif(Transakcje!$E:$E,$B31,Transakcje!$C:$C))</f>
        <v>1643.99</v>
      </c>
      <c r="F31" s="107">
        <f t="shared" si="3"/>
        <v>-143.99</v>
      </c>
      <c r="G31" s="109"/>
      <c r="H31" s="104" t="s">
        <v>23</v>
      </c>
      <c r="I31" s="105"/>
      <c r="J31" s="106">
        <v>0.0</v>
      </c>
      <c r="K31" s="99">
        <f>if(isblank($H31), "", sumif(Transakcje!$J:$J,$H31,Transakcje!$H:$H))</f>
        <v>0</v>
      </c>
      <c r="L31" s="107">
        <f t="shared" si="4"/>
        <v>0</v>
      </c>
      <c r="M31" s="67"/>
    </row>
    <row r="32" ht="18.0" customHeight="1">
      <c r="A32" s="67"/>
      <c r="B32" s="104" t="s">
        <v>24</v>
      </c>
      <c r="C32" s="105"/>
      <c r="D32" s="106">
        <v>600.0</v>
      </c>
      <c r="E32" s="99">
        <f>if(isblank($B32), "", sumif(Transakcje!$E:$E,$B32,Transakcje!$C:$C))</f>
        <v>618</v>
      </c>
      <c r="F32" s="107">
        <f t="shared" si="3"/>
        <v>-18</v>
      </c>
      <c r="G32" s="109"/>
      <c r="H32" s="104" t="s">
        <v>25</v>
      </c>
      <c r="I32" s="105"/>
      <c r="J32" s="106">
        <v>0.0</v>
      </c>
      <c r="K32" s="99">
        <f>if(isblank($H32), "", sumif(Transakcje!$J:$J,$H32,Transakcje!$H:$H))</f>
        <v>0</v>
      </c>
      <c r="L32" s="107">
        <f t="shared" si="4"/>
        <v>0</v>
      </c>
      <c r="M32" s="67"/>
    </row>
    <row r="33" ht="18.0" customHeight="1">
      <c r="A33" s="67"/>
      <c r="B33" s="104" t="s">
        <v>26</v>
      </c>
      <c r="C33" s="105"/>
      <c r="D33" s="106">
        <v>1700.0</v>
      </c>
      <c r="E33" s="99">
        <f>if(isblank($B33), "", sumif(Transakcje!$E:$E,$B33,Transakcje!$C:$C))</f>
        <v>3872</v>
      </c>
      <c r="F33" s="107">
        <f t="shared" si="3"/>
        <v>-2172</v>
      </c>
      <c r="G33" s="109"/>
      <c r="H33" s="104" t="s">
        <v>27</v>
      </c>
      <c r="I33" s="105"/>
      <c r="J33" s="110">
        <v>0.0</v>
      </c>
      <c r="K33" s="99">
        <f>if(isblank($H33), "", sumif(Transakcje!$J:$J,$H33,Transakcje!$H:$H))</f>
        <v>0</v>
      </c>
      <c r="L33" s="107">
        <f t="shared" si="4"/>
        <v>0</v>
      </c>
      <c r="M33" s="67"/>
    </row>
    <row r="34" ht="18.0" customHeight="1">
      <c r="A34" s="67"/>
      <c r="B34" s="104" t="s">
        <v>28</v>
      </c>
      <c r="C34" s="105"/>
      <c r="D34" s="106">
        <v>0.0</v>
      </c>
      <c r="E34" s="99">
        <f>if(isblank($B34), "", sumif(Transakcje!$E:$E,$B34,Transakcje!$C:$C))</f>
        <v>0</v>
      </c>
      <c r="F34" s="107">
        <f t="shared" si="3"/>
        <v>0</v>
      </c>
      <c r="G34" s="111"/>
      <c r="H34" s="112"/>
      <c r="I34" s="105"/>
      <c r="J34" s="113"/>
      <c r="K34" s="114" t="str">
        <f>if(isblank($H34), "", sumif(Transakcje!$J:$J,$H34,Transakcje!$H:$H))</f>
        <v/>
      </c>
      <c r="L34" s="115" t="str">
        <f t="shared" si="4"/>
        <v/>
      </c>
      <c r="M34" s="67"/>
    </row>
    <row r="35" ht="18.0" customHeight="1">
      <c r="A35" s="67"/>
      <c r="B35" s="104" t="s">
        <v>29</v>
      </c>
      <c r="C35" s="105"/>
      <c r="D35" s="106">
        <v>1200.0</v>
      </c>
      <c r="E35" s="99">
        <f>if(isblank($B35), "", sumif(Transakcje!$E:$E,$B35,Transakcje!$C:$C))</f>
        <v>1290</v>
      </c>
      <c r="F35" s="107">
        <f t="shared" si="3"/>
        <v>-90</v>
      </c>
      <c r="G35" s="109"/>
      <c r="H35" s="112"/>
      <c r="I35" s="105"/>
      <c r="J35" s="113"/>
      <c r="K35" s="114" t="str">
        <f>if(isblank($H35), "", sumif(Transakcje!$J:$J,$H35,Transakcje!$H:$H))</f>
        <v/>
      </c>
      <c r="L35" s="115" t="str">
        <f t="shared" si="4"/>
        <v/>
      </c>
      <c r="M35" s="67"/>
    </row>
    <row r="36" ht="18.0" customHeight="1">
      <c r="A36" s="67"/>
      <c r="B36" s="104" t="s">
        <v>30</v>
      </c>
      <c r="C36" s="105"/>
      <c r="D36" s="106">
        <v>0.0</v>
      </c>
      <c r="E36" s="99">
        <f>if(isblank($B36), "", sumif(Transakcje!$E:$E,$B36,Transakcje!$C:$C))</f>
        <v>2443</v>
      </c>
      <c r="F36" s="107">
        <f t="shared" si="3"/>
        <v>-2443</v>
      </c>
      <c r="G36" s="109"/>
      <c r="H36" s="112"/>
      <c r="I36" s="105"/>
      <c r="J36" s="113"/>
      <c r="K36" s="114" t="str">
        <f>if(isblank($H36), "", sumif(Transakcje!$J:$J,$H36,Transakcje!$H:$H))</f>
        <v/>
      </c>
      <c r="L36" s="115" t="str">
        <f t="shared" si="4"/>
        <v/>
      </c>
      <c r="M36" s="67"/>
    </row>
    <row r="37" ht="18.0" customHeight="1">
      <c r="A37" s="67"/>
      <c r="B37" s="104" t="s">
        <v>31</v>
      </c>
      <c r="C37" s="105"/>
      <c r="D37" s="106">
        <v>0.0</v>
      </c>
      <c r="E37" s="99">
        <f>if(isblank($B37), "", sumif(Transakcje!$E:$E,$B37,Transakcje!$C:$C))</f>
        <v>0</v>
      </c>
      <c r="F37" s="107">
        <f t="shared" si="3"/>
        <v>0</v>
      </c>
      <c r="G37" s="109"/>
      <c r="H37" s="112"/>
      <c r="I37" s="105"/>
      <c r="J37" s="113"/>
      <c r="K37" s="114" t="str">
        <f>if(isblank($H37), "", sumif(Transakcje!$J:$J,$H37,Transakcje!$H:$H))</f>
        <v/>
      </c>
      <c r="L37" s="115" t="str">
        <f t="shared" si="4"/>
        <v/>
      </c>
      <c r="M37" s="67"/>
    </row>
    <row r="38" ht="18.0" customHeight="1">
      <c r="A38" s="67"/>
      <c r="B38" s="104" t="s">
        <v>32</v>
      </c>
      <c r="C38" s="105"/>
      <c r="D38" s="106">
        <v>150.0</v>
      </c>
      <c r="E38" s="99">
        <f>if(isblank($B38), "", sumif(Transakcje!$E:$E,$B38,Transakcje!$C:$C))</f>
        <v>0</v>
      </c>
      <c r="F38" s="107">
        <f t="shared" si="3"/>
        <v>150</v>
      </c>
      <c r="G38" s="109"/>
      <c r="H38" s="112"/>
      <c r="I38" s="105"/>
      <c r="J38" s="113"/>
      <c r="K38" s="114" t="str">
        <f>if(isblank($H38), "", sumif(Transakcje!$J:$J,$H38,Transakcje!$H:$H))</f>
        <v/>
      </c>
      <c r="L38" s="115" t="str">
        <f t="shared" si="4"/>
        <v/>
      </c>
      <c r="M38" s="67"/>
    </row>
    <row r="39" ht="18.0" customHeight="1">
      <c r="A39" s="67"/>
      <c r="B39" s="104" t="s">
        <v>33</v>
      </c>
      <c r="C39" s="105"/>
      <c r="D39" s="106">
        <v>0.0</v>
      </c>
      <c r="E39" s="99">
        <f>if(isblank($B39), "", sumif(Transakcje!$E:$E,$B39,Transakcje!$C:$C))</f>
        <v>139</v>
      </c>
      <c r="F39" s="107">
        <f t="shared" si="3"/>
        <v>-139</v>
      </c>
      <c r="G39" s="109"/>
      <c r="H39" s="112"/>
      <c r="I39" s="105"/>
      <c r="J39" s="113"/>
      <c r="K39" s="114" t="str">
        <f>if(isblank($H39), "", sumif(Transakcje!$J:$J,$H39,Transakcje!$H:$H))</f>
        <v/>
      </c>
      <c r="L39" s="115" t="str">
        <f t="shared" si="4"/>
        <v/>
      </c>
      <c r="M39" s="67"/>
    </row>
    <row r="40" ht="18.0" customHeight="1">
      <c r="A40" s="67"/>
      <c r="B40" s="104" t="s">
        <v>25</v>
      </c>
      <c r="C40" s="105"/>
      <c r="D40" s="116">
        <v>0.0</v>
      </c>
      <c r="E40" s="99">
        <f>if(isblank($B40), "", sumif(Transakcje!$E:$E,$B40,Transakcje!$C:$C))</f>
        <v>218</v>
      </c>
      <c r="F40" s="107">
        <f t="shared" si="3"/>
        <v>-218</v>
      </c>
      <c r="G40" s="109"/>
      <c r="H40" s="112"/>
      <c r="I40" s="105"/>
      <c r="J40" s="113"/>
      <c r="K40" s="114" t="str">
        <f>if(isblank($H40), "", sumif(Transakcje!$J:$J,$H40,Transakcje!$H:$H))</f>
        <v/>
      </c>
      <c r="L40" s="115" t="str">
        <f t="shared" si="4"/>
        <v/>
      </c>
      <c r="M40" s="67"/>
    </row>
    <row r="41" ht="18.0" customHeight="1">
      <c r="A41" s="67"/>
      <c r="B41" s="104" t="s">
        <v>34</v>
      </c>
      <c r="C41" s="105"/>
      <c r="D41" s="116">
        <v>0.0</v>
      </c>
      <c r="E41" s="99">
        <f>if(isblank($B41), "", sumif(Transakcje!$E:$E,$B41,Transakcje!$C:$C))</f>
        <v>0</v>
      </c>
      <c r="F41" s="107">
        <f t="shared" si="3"/>
        <v>0</v>
      </c>
      <c r="G41" s="109"/>
      <c r="H41" s="112"/>
      <c r="I41" s="105"/>
      <c r="J41" s="113"/>
      <c r="K41" s="114" t="str">
        <f>if(isblank($H41), "", sumif(Transakcje!$J:$J,$H41,Transakcje!$H:$H))</f>
        <v/>
      </c>
      <c r="L41" s="115" t="str">
        <f t="shared" si="4"/>
        <v/>
      </c>
      <c r="M41" s="67"/>
    </row>
    <row r="42" ht="18.0" customHeight="1">
      <c r="A42" s="67"/>
      <c r="B42" s="117"/>
      <c r="C42" s="117"/>
      <c r="D42" s="118"/>
      <c r="E42" s="114"/>
      <c r="F42" s="115"/>
      <c r="G42" s="109"/>
      <c r="H42" s="119"/>
      <c r="I42" s="119"/>
      <c r="J42" s="113"/>
      <c r="K42" s="114"/>
      <c r="L42" s="115"/>
      <c r="M42" s="67"/>
    </row>
    <row r="43" ht="18.0" customHeight="1">
      <c r="A43" s="67"/>
      <c r="B43" s="117"/>
      <c r="C43" s="117"/>
      <c r="D43" s="118"/>
      <c r="E43" s="114"/>
      <c r="F43" s="115"/>
      <c r="G43" s="109"/>
      <c r="H43" s="119"/>
      <c r="I43" s="119"/>
      <c r="J43" s="113"/>
      <c r="K43" s="114"/>
      <c r="L43" s="115"/>
      <c r="M43" s="67"/>
    </row>
    <row r="44" ht="18.0" customHeight="1">
      <c r="A44" s="67"/>
      <c r="B44" s="104"/>
      <c r="C44" s="105"/>
      <c r="D44" s="120"/>
      <c r="E44" s="114" t="str">
        <f>if(isblank($B44), "", sumif(Transakcje!$E:$E,$B44,Transakcje!$C:$C))</f>
        <v/>
      </c>
      <c r="F44" s="115" t="str">
        <f>if(isblank($B44), "", D44-E44)</f>
        <v/>
      </c>
      <c r="G44" s="109"/>
      <c r="H44" s="112"/>
      <c r="I44" s="105"/>
      <c r="J44" s="113"/>
      <c r="K44" s="114" t="str">
        <f>if(isblank($H44), "", sumif(Transakcje!$J:$J,$H44,Transakcje!$H:$H))</f>
        <v/>
      </c>
      <c r="L44" s="115" t="str">
        <f>if(isblank($H44), "", K44-J44)</f>
        <v/>
      </c>
      <c r="M44" s="67"/>
    </row>
  </sheetData>
  <mergeCells count="55">
    <mergeCell ref="B2:H2"/>
    <mergeCell ref="I2:L2"/>
    <mergeCell ref="B3:G4"/>
    <mergeCell ref="I3:L3"/>
    <mergeCell ref="I4:M5"/>
    <mergeCell ref="B5:G6"/>
    <mergeCell ref="J8:K8"/>
    <mergeCell ref="B8:E9"/>
    <mergeCell ref="D12:D15"/>
    <mergeCell ref="E12:E15"/>
    <mergeCell ref="I13:K13"/>
    <mergeCell ref="I14:K14"/>
    <mergeCell ref="I15:K15"/>
    <mergeCell ref="I16:K16"/>
    <mergeCell ref="I17:K17"/>
    <mergeCell ref="B20:F20"/>
    <mergeCell ref="D21:F21"/>
    <mergeCell ref="J21:L21"/>
    <mergeCell ref="D22:F22"/>
    <mergeCell ref="J22:L22"/>
    <mergeCell ref="J23:L23"/>
    <mergeCell ref="D23:F23"/>
    <mergeCell ref="B24:C24"/>
    <mergeCell ref="B27:C27"/>
    <mergeCell ref="H27:I27"/>
    <mergeCell ref="B28:C28"/>
    <mergeCell ref="H28:I28"/>
    <mergeCell ref="H29:I29"/>
    <mergeCell ref="B36:C36"/>
    <mergeCell ref="B37:C37"/>
    <mergeCell ref="B38:C38"/>
    <mergeCell ref="B39:C39"/>
    <mergeCell ref="B40:C40"/>
    <mergeCell ref="B41:C41"/>
    <mergeCell ref="B44:C44"/>
    <mergeCell ref="B29:C29"/>
    <mergeCell ref="B30:C30"/>
    <mergeCell ref="B31:C31"/>
    <mergeCell ref="B32:C32"/>
    <mergeCell ref="B33:C33"/>
    <mergeCell ref="B34:C34"/>
    <mergeCell ref="B35:C35"/>
    <mergeCell ref="H37:I37"/>
    <mergeCell ref="H38:I38"/>
    <mergeCell ref="H39:I39"/>
    <mergeCell ref="H40:I40"/>
    <mergeCell ref="H41:I41"/>
    <mergeCell ref="H44:I44"/>
    <mergeCell ref="H30:I30"/>
    <mergeCell ref="H31:I31"/>
    <mergeCell ref="H32:I32"/>
    <mergeCell ref="H33:I33"/>
    <mergeCell ref="H34:I34"/>
    <mergeCell ref="H35:I35"/>
    <mergeCell ref="H36:I36"/>
  </mergeCells>
  <conditionalFormatting sqref="B27:C44 H27:H44">
    <cfRule type="notContainsBlanks" dxfId="0" priority="1">
      <formula>LEN(TRIM(B27))&gt;0</formula>
    </cfRule>
  </conditionalFormatting>
  <conditionalFormatting sqref="D27:D44">
    <cfRule type="expression" dxfId="0" priority="2">
      <formula>not(isblank(B27))</formula>
    </cfRule>
  </conditionalFormatting>
  <conditionalFormatting sqref="J27:J44">
    <cfRule type="expression" dxfId="0" priority="3">
      <formula>not(isblank(H27))</formula>
    </cfRule>
  </conditionalFormatting>
  <conditionalFormatting sqref="F26:F44 L26:L44">
    <cfRule type="cellIs" dxfId="1" priority="4" operator="lessThan">
      <formula>0</formula>
    </cfRule>
  </conditionalFormatting>
  <conditionalFormatting sqref="F27:F44 L27:L44">
    <cfRule type="cellIs" dxfId="2" priority="5" operator="equal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3" width="12.63"/>
    <col customWidth="1" min="4" max="4" width="16.25"/>
    <col customWidth="1" min="5" max="5" width="23.75"/>
    <col customWidth="1" min="6" max="6" width="5.13"/>
    <col customWidth="1" min="9" max="9" width="13.25"/>
    <col customWidth="1" min="10" max="10" width="23.75"/>
    <col customWidth="1" min="11" max="11" width="5.13"/>
  </cols>
  <sheetData>
    <row r="1" ht="33.0" customHeight="1">
      <c r="A1" s="121"/>
      <c r="B1" s="11" t="s">
        <v>35</v>
      </c>
      <c r="K1" s="121"/>
    </row>
    <row r="2" ht="48.0" customHeight="1">
      <c r="A2" s="122"/>
      <c r="B2" s="123" t="s">
        <v>10</v>
      </c>
      <c r="C2" s="122"/>
      <c r="D2" s="122"/>
      <c r="E2" s="122"/>
      <c r="F2" s="122"/>
      <c r="G2" s="123" t="s">
        <v>11</v>
      </c>
      <c r="H2" s="122"/>
      <c r="I2" s="122"/>
      <c r="J2" s="122"/>
      <c r="K2" s="122"/>
    </row>
    <row r="3" ht="12.0" customHeight="1">
      <c r="A3" s="15"/>
      <c r="B3" s="124"/>
      <c r="C3" s="124"/>
      <c r="D3" s="124"/>
      <c r="E3" s="124"/>
      <c r="F3" s="15"/>
      <c r="G3" s="124"/>
      <c r="H3" s="124"/>
      <c r="I3" s="124"/>
      <c r="J3" s="124"/>
      <c r="K3" s="15"/>
    </row>
    <row r="4" ht="24.0" customHeight="1">
      <c r="A4" s="67"/>
      <c r="B4" s="125" t="s">
        <v>36</v>
      </c>
      <c r="C4" s="125" t="s">
        <v>37</v>
      </c>
      <c r="D4" s="125" t="s">
        <v>38</v>
      </c>
      <c r="E4" s="125" t="s">
        <v>39</v>
      </c>
      <c r="F4" s="67"/>
      <c r="G4" s="125" t="s">
        <v>36</v>
      </c>
      <c r="H4" s="125" t="s">
        <v>37</v>
      </c>
      <c r="I4" s="125" t="s">
        <v>38</v>
      </c>
      <c r="J4" s="125" t="s">
        <v>39</v>
      </c>
      <c r="K4" s="67"/>
    </row>
    <row r="5" ht="19.5" customHeight="1">
      <c r="A5" s="67"/>
      <c r="B5" s="126">
        <v>36781.0</v>
      </c>
      <c r="C5" s="127">
        <v>6000.0</v>
      </c>
      <c r="D5" s="128" t="s">
        <v>40</v>
      </c>
      <c r="E5" s="129" t="s">
        <v>18</v>
      </c>
      <c r="F5" s="67"/>
      <c r="G5" s="130"/>
      <c r="H5" s="131">
        <v>30000.0</v>
      </c>
      <c r="I5" s="132" t="s">
        <v>41</v>
      </c>
      <c r="J5" s="130" t="s">
        <v>19</v>
      </c>
      <c r="K5" s="67"/>
    </row>
    <row r="6" ht="19.5" customHeight="1">
      <c r="A6" s="67"/>
      <c r="B6" s="126"/>
      <c r="C6" s="127">
        <v>3421.0</v>
      </c>
      <c r="D6" s="128" t="s">
        <v>42</v>
      </c>
      <c r="E6" s="129" t="s">
        <v>18</v>
      </c>
      <c r="F6" s="67"/>
      <c r="G6" s="126"/>
      <c r="H6" s="133"/>
      <c r="I6" s="134"/>
      <c r="J6" s="129"/>
      <c r="K6" s="67"/>
    </row>
    <row r="7" ht="19.5" customHeight="1">
      <c r="A7" s="67"/>
      <c r="B7" s="126"/>
      <c r="C7" s="135">
        <v>3673.0</v>
      </c>
      <c r="D7" s="128" t="s">
        <v>43</v>
      </c>
      <c r="E7" s="129" t="s">
        <v>18</v>
      </c>
      <c r="F7" s="67"/>
      <c r="G7" s="126"/>
      <c r="H7" s="133"/>
      <c r="I7" s="134"/>
      <c r="J7" s="129"/>
      <c r="K7" s="67"/>
    </row>
    <row r="8" ht="19.5" customHeight="1">
      <c r="A8" s="67"/>
      <c r="B8" s="126"/>
      <c r="C8" s="127">
        <v>290.0</v>
      </c>
      <c r="D8" s="128" t="s">
        <v>44</v>
      </c>
      <c r="E8" s="129" t="s">
        <v>18</v>
      </c>
      <c r="F8" s="67"/>
      <c r="G8" s="126"/>
      <c r="H8" s="133"/>
      <c r="I8" s="134"/>
      <c r="J8" s="129"/>
      <c r="K8" s="67"/>
    </row>
    <row r="9" ht="19.5" customHeight="1">
      <c r="A9" s="67"/>
      <c r="B9" s="126"/>
      <c r="C9" s="127">
        <v>1420.0</v>
      </c>
      <c r="D9" s="128" t="s">
        <v>45</v>
      </c>
      <c r="E9" s="129" t="s">
        <v>26</v>
      </c>
      <c r="F9" s="67"/>
      <c r="G9" s="126"/>
      <c r="H9" s="133"/>
      <c r="I9" s="134"/>
      <c r="J9" s="129"/>
      <c r="K9" s="67"/>
    </row>
    <row r="10" ht="19.5" customHeight="1">
      <c r="A10" s="67"/>
      <c r="B10" s="126"/>
      <c r="C10" s="127">
        <v>252.0</v>
      </c>
      <c r="D10" s="128" t="s">
        <v>46</v>
      </c>
      <c r="E10" s="129" t="s">
        <v>26</v>
      </c>
      <c r="F10" s="67"/>
      <c r="G10" s="126"/>
      <c r="H10" s="133"/>
      <c r="I10" s="136"/>
      <c r="J10" s="137"/>
      <c r="K10" s="67"/>
    </row>
    <row r="11" ht="19.5" customHeight="1">
      <c r="A11" s="67"/>
      <c r="B11" s="126"/>
      <c r="C11" s="127">
        <v>43.0</v>
      </c>
      <c r="D11" s="128" t="s">
        <v>47</v>
      </c>
      <c r="E11" s="129" t="s">
        <v>22</v>
      </c>
      <c r="F11" s="67"/>
      <c r="G11" s="126"/>
      <c r="H11" s="133"/>
      <c r="I11" s="136"/>
      <c r="J11" s="137"/>
      <c r="K11" s="67"/>
    </row>
    <row r="12" ht="19.5" customHeight="1">
      <c r="A12" s="67"/>
      <c r="B12" s="126"/>
      <c r="C12" s="127">
        <v>981.0</v>
      </c>
      <c r="D12" s="128" t="s">
        <v>48</v>
      </c>
      <c r="E12" s="129" t="s">
        <v>22</v>
      </c>
      <c r="F12" s="67"/>
      <c r="G12" s="126"/>
      <c r="H12" s="133"/>
      <c r="I12" s="136"/>
      <c r="J12" s="137"/>
      <c r="K12" s="67"/>
    </row>
    <row r="13" ht="19.5" customHeight="1">
      <c r="A13" s="67"/>
      <c r="B13" s="126"/>
      <c r="C13" s="127">
        <v>65.0</v>
      </c>
      <c r="D13" s="128" t="s">
        <v>49</v>
      </c>
      <c r="E13" s="129" t="s">
        <v>22</v>
      </c>
      <c r="F13" s="67"/>
      <c r="G13" s="126"/>
      <c r="H13" s="133"/>
      <c r="I13" s="136"/>
      <c r="J13" s="137"/>
      <c r="K13" s="67"/>
    </row>
    <row r="14" ht="19.5" customHeight="1">
      <c r="A14" s="67"/>
      <c r="B14" s="126"/>
      <c r="C14" s="127">
        <v>54.99</v>
      </c>
      <c r="D14" s="128" t="s">
        <v>50</v>
      </c>
      <c r="E14" s="129" t="s">
        <v>22</v>
      </c>
      <c r="F14" s="67"/>
      <c r="G14" s="126"/>
      <c r="H14" s="133"/>
      <c r="I14" s="136"/>
      <c r="J14" s="137"/>
      <c r="K14" s="67"/>
    </row>
    <row r="15" ht="19.5" customHeight="1">
      <c r="A15" s="67"/>
      <c r="B15" s="126"/>
      <c r="C15" s="127">
        <v>500.0</v>
      </c>
      <c r="D15" s="128" t="s">
        <v>51</v>
      </c>
      <c r="E15" s="129" t="s">
        <v>22</v>
      </c>
      <c r="F15" s="67"/>
      <c r="G15" s="126"/>
      <c r="H15" s="133"/>
      <c r="I15" s="136"/>
      <c r="J15" s="137"/>
      <c r="K15" s="67"/>
    </row>
    <row r="16" ht="19.5" customHeight="1">
      <c r="A16" s="67"/>
      <c r="B16" s="126"/>
      <c r="C16" s="127">
        <v>190.0</v>
      </c>
      <c r="D16" s="128" t="s">
        <v>52</v>
      </c>
      <c r="E16" s="129" t="s">
        <v>29</v>
      </c>
      <c r="F16" s="67"/>
      <c r="G16" s="126"/>
      <c r="H16" s="133"/>
      <c r="I16" s="134"/>
      <c r="J16" s="129"/>
      <c r="K16" s="67"/>
    </row>
    <row r="17" ht="19.5" customHeight="1">
      <c r="A17" s="67"/>
      <c r="B17" s="126"/>
      <c r="C17" s="133">
        <v>1000.0</v>
      </c>
      <c r="D17" s="128" t="s">
        <v>53</v>
      </c>
      <c r="E17" s="129" t="s">
        <v>29</v>
      </c>
      <c r="F17" s="67"/>
      <c r="G17" s="126"/>
      <c r="H17" s="133"/>
      <c r="I17" s="136"/>
      <c r="J17" s="137"/>
      <c r="K17" s="67"/>
    </row>
    <row r="18" ht="19.5" customHeight="1">
      <c r="A18" s="67"/>
      <c r="B18" s="126"/>
      <c r="C18" s="133">
        <v>2660.0</v>
      </c>
      <c r="D18" s="128" t="s">
        <v>54</v>
      </c>
      <c r="E18" s="138" t="s">
        <v>18</v>
      </c>
      <c r="F18" s="67"/>
      <c r="G18" s="126"/>
      <c r="H18" s="133"/>
      <c r="I18" s="136"/>
      <c r="J18" s="137"/>
      <c r="K18" s="67"/>
    </row>
    <row r="19" ht="19.5" customHeight="1">
      <c r="A19" s="67"/>
      <c r="B19" s="126"/>
      <c r="C19" s="133">
        <v>41.0</v>
      </c>
      <c r="D19" s="139" t="s">
        <v>55</v>
      </c>
      <c r="E19" s="138" t="s">
        <v>16</v>
      </c>
      <c r="F19" s="67"/>
      <c r="G19" s="126"/>
      <c r="H19" s="133"/>
      <c r="I19" s="136"/>
      <c r="J19" s="137"/>
      <c r="K19" s="67"/>
    </row>
    <row r="20" ht="19.5" customHeight="1">
      <c r="A20" s="67"/>
      <c r="B20" s="126"/>
      <c r="C20" s="133">
        <v>15.0</v>
      </c>
      <c r="D20" s="128" t="s">
        <v>55</v>
      </c>
      <c r="E20" s="129" t="s">
        <v>16</v>
      </c>
      <c r="F20" s="67"/>
      <c r="G20" s="126"/>
      <c r="H20" s="133"/>
      <c r="I20" s="136"/>
      <c r="J20" s="137"/>
      <c r="K20" s="67"/>
    </row>
    <row r="21" ht="19.5" customHeight="1">
      <c r="A21" s="67"/>
      <c r="B21" s="126"/>
      <c r="C21" s="133">
        <v>16.0</v>
      </c>
      <c r="D21" s="128" t="s">
        <v>56</v>
      </c>
      <c r="E21" s="129" t="s">
        <v>20</v>
      </c>
      <c r="F21" s="67"/>
      <c r="G21" s="126"/>
      <c r="H21" s="133"/>
      <c r="I21" s="136"/>
      <c r="J21" s="137"/>
      <c r="K21" s="67"/>
    </row>
    <row r="22" ht="19.5" customHeight="1">
      <c r="A22" s="67"/>
      <c r="B22" s="126"/>
      <c r="C22" s="133">
        <v>165.0</v>
      </c>
      <c r="D22" s="128" t="s">
        <v>57</v>
      </c>
      <c r="E22" s="129" t="s">
        <v>20</v>
      </c>
      <c r="F22" s="67"/>
      <c r="G22" s="126"/>
      <c r="H22" s="133"/>
      <c r="I22" s="136"/>
      <c r="J22" s="137"/>
      <c r="K22" s="67"/>
    </row>
    <row r="23" ht="19.5" customHeight="1">
      <c r="A23" s="67"/>
      <c r="B23" s="126"/>
      <c r="C23" s="133">
        <v>40.0</v>
      </c>
      <c r="D23" s="128" t="s">
        <v>58</v>
      </c>
      <c r="E23" s="129" t="s">
        <v>16</v>
      </c>
      <c r="F23" s="67"/>
      <c r="G23" s="126"/>
      <c r="H23" s="133"/>
      <c r="I23" s="136"/>
      <c r="J23" s="137"/>
      <c r="K23" s="67"/>
    </row>
    <row r="24" ht="19.5" customHeight="1">
      <c r="A24" s="67"/>
      <c r="B24" s="126"/>
      <c r="C24" s="133">
        <v>99.0</v>
      </c>
      <c r="D24" s="140" t="s">
        <v>59</v>
      </c>
      <c r="E24" s="141" t="s">
        <v>20</v>
      </c>
      <c r="F24" s="67"/>
      <c r="G24" s="126"/>
      <c r="H24" s="133"/>
      <c r="I24" s="136"/>
      <c r="J24" s="137"/>
      <c r="K24" s="67"/>
    </row>
    <row r="25" ht="19.5" customHeight="1">
      <c r="A25" s="67"/>
      <c r="B25" s="126"/>
      <c r="C25" s="133">
        <v>30.0</v>
      </c>
      <c r="D25" s="128" t="s">
        <v>60</v>
      </c>
      <c r="E25" s="129" t="s">
        <v>16</v>
      </c>
      <c r="F25" s="67"/>
      <c r="G25" s="126"/>
      <c r="H25" s="133"/>
      <c r="I25" s="136"/>
      <c r="J25" s="137"/>
      <c r="K25" s="67"/>
    </row>
    <row r="26" ht="19.5" customHeight="1">
      <c r="A26" s="67"/>
      <c r="B26" s="126"/>
      <c r="C26" s="133">
        <v>215.0</v>
      </c>
      <c r="D26" s="128" t="s">
        <v>61</v>
      </c>
      <c r="E26" s="129" t="s">
        <v>20</v>
      </c>
      <c r="F26" s="67"/>
      <c r="G26" s="126"/>
      <c r="H26" s="133"/>
      <c r="I26" s="136"/>
      <c r="J26" s="137"/>
      <c r="K26" s="67"/>
    </row>
    <row r="27" ht="19.5" customHeight="1">
      <c r="A27" s="67"/>
      <c r="B27" s="126"/>
      <c r="C27" s="133">
        <v>18.0</v>
      </c>
      <c r="D27" s="128" t="s">
        <v>62</v>
      </c>
      <c r="E27" s="129" t="s">
        <v>20</v>
      </c>
      <c r="F27" s="67"/>
      <c r="G27" s="126"/>
      <c r="H27" s="133"/>
      <c r="I27" s="136"/>
      <c r="J27" s="137"/>
      <c r="K27" s="67"/>
    </row>
    <row r="28" ht="19.5" customHeight="1">
      <c r="A28" s="67"/>
      <c r="B28" s="126"/>
      <c r="C28" s="133">
        <v>52.0</v>
      </c>
      <c r="D28" s="128" t="s">
        <v>63</v>
      </c>
      <c r="E28" s="129" t="s">
        <v>20</v>
      </c>
      <c r="F28" s="67"/>
      <c r="G28" s="126"/>
      <c r="H28" s="133"/>
      <c r="I28" s="136"/>
      <c r="J28" s="137"/>
      <c r="K28" s="67"/>
    </row>
    <row r="29" ht="19.5" customHeight="1">
      <c r="A29" s="67"/>
      <c r="B29" s="126"/>
      <c r="C29" s="133">
        <v>10.0</v>
      </c>
      <c r="D29" s="128" t="s">
        <v>64</v>
      </c>
      <c r="E29" s="129" t="s">
        <v>16</v>
      </c>
      <c r="F29" s="67"/>
      <c r="G29" s="126"/>
      <c r="H29" s="133"/>
      <c r="I29" s="136"/>
      <c r="J29" s="137"/>
      <c r="K29" s="67"/>
    </row>
    <row r="30" ht="19.5" customHeight="1">
      <c r="A30" s="67"/>
      <c r="B30" s="126"/>
      <c r="C30" s="133">
        <v>98.0</v>
      </c>
      <c r="D30" s="140" t="s">
        <v>65</v>
      </c>
      <c r="E30" s="141" t="s">
        <v>25</v>
      </c>
      <c r="F30" s="67"/>
      <c r="G30" s="126"/>
      <c r="H30" s="133"/>
      <c r="I30" s="136"/>
      <c r="J30" s="137"/>
      <c r="K30" s="67"/>
    </row>
    <row r="31" ht="19.5" customHeight="1">
      <c r="A31" s="67"/>
      <c r="B31" s="126"/>
      <c r="C31" s="133">
        <v>67.0</v>
      </c>
      <c r="D31" s="128" t="s">
        <v>56</v>
      </c>
      <c r="E31" s="129" t="s">
        <v>20</v>
      </c>
      <c r="F31" s="67"/>
      <c r="G31" s="126"/>
      <c r="H31" s="133"/>
      <c r="I31" s="136"/>
      <c r="J31" s="137"/>
      <c r="K31" s="67"/>
    </row>
    <row r="32" ht="19.5" customHeight="1">
      <c r="A32" s="67"/>
      <c r="B32" s="126"/>
      <c r="C32" s="133">
        <v>11.0</v>
      </c>
      <c r="D32" s="128" t="s">
        <v>60</v>
      </c>
      <c r="E32" s="129" t="s">
        <v>16</v>
      </c>
      <c r="F32" s="67"/>
      <c r="G32" s="126"/>
      <c r="H32" s="133"/>
      <c r="I32" s="136"/>
      <c r="J32" s="137"/>
      <c r="K32" s="67"/>
    </row>
    <row r="33" ht="19.5" customHeight="1">
      <c r="A33" s="67"/>
      <c r="B33" s="126"/>
      <c r="C33" s="133">
        <v>19.0</v>
      </c>
      <c r="D33" s="128" t="s">
        <v>66</v>
      </c>
      <c r="E33" s="129" t="s">
        <v>16</v>
      </c>
      <c r="F33" s="67"/>
      <c r="G33" s="126"/>
      <c r="H33" s="133"/>
      <c r="I33" s="136"/>
      <c r="J33" s="137"/>
      <c r="K33" s="67"/>
    </row>
    <row r="34" ht="19.5" customHeight="1">
      <c r="A34" s="67"/>
      <c r="B34" s="126"/>
      <c r="C34" s="133">
        <v>443.0</v>
      </c>
      <c r="D34" s="128" t="s">
        <v>67</v>
      </c>
      <c r="E34" s="129" t="s">
        <v>30</v>
      </c>
      <c r="F34" s="67"/>
      <c r="G34" s="126"/>
      <c r="H34" s="133"/>
      <c r="I34" s="136"/>
      <c r="J34" s="137"/>
      <c r="K34" s="67"/>
    </row>
    <row r="35" ht="19.5" customHeight="1">
      <c r="A35" s="67"/>
      <c r="B35" s="126"/>
      <c r="C35" s="133">
        <v>140.0</v>
      </c>
      <c r="D35" s="128" t="s">
        <v>68</v>
      </c>
      <c r="E35" s="129" t="s">
        <v>18</v>
      </c>
      <c r="F35" s="67"/>
      <c r="G35" s="126"/>
      <c r="H35" s="133"/>
      <c r="I35" s="136"/>
      <c r="J35" s="137"/>
      <c r="K35" s="67"/>
    </row>
    <row r="36" ht="19.5" customHeight="1">
      <c r="A36" s="67"/>
      <c r="B36" s="126"/>
      <c r="C36" s="133">
        <v>662.0</v>
      </c>
      <c r="D36" s="128" t="s">
        <v>69</v>
      </c>
      <c r="E36" s="129" t="s">
        <v>18</v>
      </c>
      <c r="F36" s="67"/>
      <c r="G36" s="126"/>
      <c r="H36" s="133"/>
      <c r="I36" s="136"/>
      <c r="J36" s="137"/>
      <c r="K36" s="67"/>
    </row>
    <row r="37" ht="19.5" customHeight="1">
      <c r="A37" s="67"/>
      <c r="B37" s="126"/>
      <c r="C37" s="133">
        <v>114.0</v>
      </c>
      <c r="D37" s="128" t="s">
        <v>70</v>
      </c>
      <c r="E37" s="129" t="s">
        <v>20</v>
      </c>
      <c r="F37" s="67"/>
      <c r="G37" s="126"/>
      <c r="H37" s="133"/>
      <c r="I37" s="136"/>
      <c r="J37" s="137"/>
      <c r="K37" s="67"/>
    </row>
    <row r="38" ht="19.5" customHeight="1">
      <c r="A38" s="67"/>
      <c r="B38" s="126"/>
      <c r="C38" s="133">
        <v>30.0</v>
      </c>
      <c r="D38" s="140" t="s">
        <v>71</v>
      </c>
      <c r="E38" s="141" t="s">
        <v>16</v>
      </c>
      <c r="F38" s="67"/>
      <c r="G38" s="126"/>
      <c r="H38" s="133"/>
      <c r="I38" s="136"/>
      <c r="J38" s="137"/>
      <c r="K38" s="67"/>
    </row>
    <row r="39" ht="19.5" customHeight="1">
      <c r="A39" s="67"/>
      <c r="B39" s="126"/>
      <c r="C39" s="133">
        <v>100.0</v>
      </c>
      <c r="D39" s="128" t="s">
        <v>72</v>
      </c>
      <c r="E39" s="129" t="s">
        <v>29</v>
      </c>
      <c r="F39" s="67"/>
      <c r="G39" s="126"/>
      <c r="H39" s="133"/>
      <c r="I39" s="136"/>
      <c r="J39" s="137"/>
      <c r="K39" s="67"/>
    </row>
    <row r="40" ht="19.5" customHeight="1">
      <c r="A40" s="67"/>
      <c r="B40" s="126"/>
      <c r="C40" s="133">
        <v>104.0</v>
      </c>
      <c r="D40" s="128" t="s">
        <v>73</v>
      </c>
      <c r="E40" s="129" t="s">
        <v>16</v>
      </c>
      <c r="F40" s="67"/>
      <c r="G40" s="126"/>
      <c r="H40" s="133"/>
      <c r="I40" s="136"/>
      <c r="J40" s="137"/>
      <c r="K40" s="67"/>
    </row>
    <row r="41" ht="19.5" customHeight="1">
      <c r="A41" s="67"/>
      <c r="B41" s="126"/>
      <c r="C41" s="133">
        <v>87.0</v>
      </c>
      <c r="D41" s="128" t="s">
        <v>74</v>
      </c>
      <c r="E41" s="129" t="s">
        <v>20</v>
      </c>
      <c r="F41" s="67"/>
      <c r="G41" s="126"/>
      <c r="H41" s="133"/>
      <c r="I41" s="136"/>
      <c r="J41" s="137"/>
      <c r="K41" s="67"/>
    </row>
    <row r="42" ht="19.5" customHeight="1">
      <c r="A42" s="67"/>
      <c r="B42" s="126"/>
      <c r="C42" s="133">
        <v>120.0</v>
      </c>
      <c r="D42" s="128" t="s">
        <v>75</v>
      </c>
      <c r="E42" s="129" t="s">
        <v>25</v>
      </c>
      <c r="F42" s="67"/>
      <c r="G42" s="126"/>
      <c r="H42" s="133"/>
      <c r="I42" s="136"/>
      <c r="J42" s="137"/>
      <c r="K42" s="67"/>
    </row>
    <row r="43" ht="19.5" customHeight="1">
      <c r="A43" s="67"/>
      <c r="B43" s="126"/>
      <c r="C43" s="133">
        <v>15.0</v>
      </c>
      <c r="D43" s="128" t="s">
        <v>71</v>
      </c>
      <c r="E43" s="129" t="s">
        <v>16</v>
      </c>
      <c r="F43" s="67"/>
      <c r="G43" s="126"/>
      <c r="H43" s="133"/>
      <c r="I43" s="136"/>
      <c r="J43" s="137"/>
      <c r="K43" s="67"/>
    </row>
    <row r="44" ht="19.5" customHeight="1">
      <c r="A44" s="67"/>
      <c r="B44" s="126"/>
      <c r="C44" s="133">
        <v>62.0</v>
      </c>
      <c r="D44" s="128" t="s">
        <v>76</v>
      </c>
      <c r="E44" s="129" t="s">
        <v>20</v>
      </c>
      <c r="F44" s="67"/>
      <c r="G44" s="126"/>
      <c r="H44" s="133"/>
      <c r="I44" s="136"/>
      <c r="J44" s="137"/>
      <c r="K44" s="67"/>
    </row>
    <row r="45" ht="19.5" customHeight="1">
      <c r="A45" s="67"/>
      <c r="B45" s="126"/>
      <c r="C45" s="133">
        <v>73.0</v>
      </c>
      <c r="D45" s="128" t="s">
        <v>77</v>
      </c>
      <c r="E45" s="129" t="s">
        <v>20</v>
      </c>
      <c r="F45" s="67"/>
      <c r="G45" s="126"/>
      <c r="H45" s="133"/>
      <c r="I45" s="136"/>
      <c r="J45" s="137"/>
      <c r="K45" s="67"/>
    </row>
    <row r="46" ht="19.5" customHeight="1">
      <c r="A46" s="67"/>
      <c r="B46" s="142"/>
      <c r="C46" s="133">
        <v>133.0</v>
      </c>
      <c r="D46" s="143" t="s">
        <v>78</v>
      </c>
      <c r="E46" s="144" t="s">
        <v>20</v>
      </c>
      <c r="F46" s="145"/>
      <c r="G46" s="142"/>
      <c r="H46" s="146"/>
      <c r="I46" s="147"/>
      <c r="J46" s="147"/>
      <c r="K46" s="67"/>
    </row>
    <row r="47" ht="19.5" customHeight="1">
      <c r="A47" s="67"/>
      <c r="B47" s="148"/>
      <c r="C47" s="133">
        <v>18.0</v>
      </c>
      <c r="D47" s="148" t="s">
        <v>71</v>
      </c>
      <c r="E47" s="148" t="s">
        <v>16</v>
      </c>
      <c r="F47" s="145"/>
      <c r="G47" s="149"/>
      <c r="H47" s="150"/>
      <c r="I47" s="151"/>
      <c r="J47" s="151"/>
      <c r="K47" s="67"/>
    </row>
    <row r="48" ht="19.5" customHeight="1">
      <c r="A48" s="67"/>
      <c r="B48" s="148"/>
      <c r="C48" s="133">
        <v>55.0</v>
      </c>
      <c r="D48" s="148" t="s">
        <v>79</v>
      </c>
      <c r="E48" s="148" t="s">
        <v>20</v>
      </c>
      <c r="F48" s="145"/>
      <c r="G48" s="149"/>
      <c r="H48" s="150"/>
      <c r="I48" s="151"/>
      <c r="J48" s="151"/>
      <c r="K48" s="67"/>
    </row>
    <row r="49" ht="19.5" customHeight="1">
      <c r="A49" s="67"/>
      <c r="B49" s="149"/>
      <c r="C49" s="133">
        <v>139.0</v>
      </c>
      <c r="D49" s="148" t="s">
        <v>80</v>
      </c>
      <c r="E49" s="148" t="s">
        <v>33</v>
      </c>
      <c r="F49" s="145"/>
      <c r="G49" s="149"/>
      <c r="H49" s="150"/>
      <c r="I49" s="151"/>
      <c r="J49" s="151"/>
      <c r="K49" s="67"/>
    </row>
    <row r="50" ht="19.5" customHeight="1">
      <c r="A50" s="67"/>
      <c r="B50" s="149"/>
      <c r="C50" s="133">
        <v>80.0</v>
      </c>
      <c r="D50" s="148" t="s">
        <v>81</v>
      </c>
      <c r="E50" s="148" t="s">
        <v>20</v>
      </c>
      <c r="F50" s="145"/>
      <c r="G50" s="149"/>
      <c r="H50" s="150"/>
      <c r="I50" s="151"/>
      <c r="J50" s="151"/>
      <c r="K50" s="67"/>
    </row>
    <row r="51" ht="19.5" customHeight="1">
      <c r="A51" s="67"/>
      <c r="B51" s="149"/>
      <c r="C51" s="133">
        <v>92.0</v>
      </c>
      <c r="D51" s="148" t="s">
        <v>82</v>
      </c>
      <c r="E51" s="148" t="s">
        <v>20</v>
      </c>
      <c r="F51" s="145"/>
      <c r="G51" s="149"/>
      <c r="H51" s="150"/>
      <c r="I51" s="151"/>
      <c r="J51" s="151"/>
      <c r="K51" s="67"/>
    </row>
    <row r="52" ht="19.5" customHeight="1">
      <c r="A52" s="67"/>
      <c r="B52" s="149"/>
      <c r="C52" s="133">
        <v>41.0</v>
      </c>
      <c r="D52" s="148" t="s">
        <v>77</v>
      </c>
      <c r="E52" s="148" t="s">
        <v>20</v>
      </c>
      <c r="F52" s="145"/>
      <c r="G52" s="149"/>
      <c r="H52" s="150"/>
      <c r="I52" s="151"/>
      <c r="J52" s="151"/>
      <c r="K52" s="67"/>
    </row>
    <row r="53" ht="19.5" customHeight="1">
      <c r="A53" s="67"/>
      <c r="B53" s="149"/>
      <c r="C53" s="133">
        <v>28.0</v>
      </c>
      <c r="D53" s="152" t="s">
        <v>64</v>
      </c>
      <c r="E53" s="148" t="s">
        <v>24</v>
      </c>
      <c r="F53" s="145"/>
      <c r="G53" s="149"/>
      <c r="H53" s="150"/>
      <c r="I53" s="151"/>
      <c r="J53" s="151"/>
      <c r="K53" s="67"/>
    </row>
    <row r="54" ht="19.5" customHeight="1">
      <c r="A54" s="67"/>
      <c r="B54" s="149"/>
      <c r="C54" s="133">
        <v>240.0</v>
      </c>
      <c r="D54" s="148" t="s">
        <v>83</v>
      </c>
      <c r="E54" s="148" t="s">
        <v>24</v>
      </c>
      <c r="F54" s="145"/>
      <c r="G54" s="149"/>
      <c r="H54" s="150"/>
      <c r="I54" s="151"/>
      <c r="J54" s="151"/>
      <c r="K54" s="67"/>
    </row>
    <row r="55" ht="19.5" customHeight="1">
      <c r="A55" s="67"/>
      <c r="B55" s="149"/>
      <c r="C55" s="133">
        <v>200.0</v>
      </c>
      <c r="D55" s="148" t="s">
        <v>84</v>
      </c>
      <c r="E55" s="148" t="s">
        <v>24</v>
      </c>
      <c r="F55" s="145"/>
      <c r="G55" s="149"/>
      <c r="H55" s="150"/>
      <c r="I55" s="151"/>
      <c r="J55" s="151"/>
      <c r="K55" s="67"/>
    </row>
    <row r="56" ht="19.5" customHeight="1">
      <c r="A56" s="67"/>
      <c r="B56" s="149"/>
      <c r="C56" s="133">
        <v>150.0</v>
      </c>
      <c r="D56" s="148" t="s">
        <v>85</v>
      </c>
      <c r="E56" s="148" t="s">
        <v>24</v>
      </c>
      <c r="F56" s="145"/>
      <c r="G56" s="149"/>
      <c r="H56" s="150"/>
      <c r="I56" s="151"/>
      <c r="J56" s="151"/>
      <c r="K56" s="67"/>
    </row>
    <row r="57" ht="19.5" customHeight="1">
      <c r="A57" s="67"/>
      <c r="B57" s="149"/>
      <c r="C57" s="133">
        <v>200.0</v>
      </c>
      <c r="D57" s="148" t="s">
        <v>86</v>
      </c>
      <c r="E57" s="148" t="s">
        <v>26</v>
      </c>
      <c r="F57" s="145"/>
      <c r="G57" s="149"/>
      <c r="H57" s="150"/>
      <c r="I57" s="151"/>
      <c r="J57" s="151"/>
      <c r="K57" s="67"/>
    </row>
    <row r="58" ht="19.5" customHeight="1">
      <c r="A58" s="67"/>
      <c r="B58" s="149"/>
      <c r="C58" s="133">
        <v>2000.0</v>
      </c>
      <c r="D58" s="148" t="s">
        <v>87</v>
      </c>
      <c r="E58" s="148" t="s">
        <v>26</v>
      </c>
      <c r="F58" s="145"/>
      <c r="G58" s="149"/>
      <c r="H58" s="150"/>
      <c r="I58" s="151"/>
      <c r="J58" s="151"/>
      <c r="K58" s="67"/>
    </row>
    <row r="59" ht="19.5" customHeight="1">
      <c r="A59" s="67"/>
      <c r="B59" s="149"/>
      <c r="C59" s="133">
        <v>2000.0</v>
      </c>
      <c r="D59" s="148" t="s">
        <v>88</v>
      </c>
      <c r="E59" s="148" t="s">
        <v>30</v>
      </c>
      <c r="F59" s="145"/>
      <c r="G59" s="149"/>
      <c r="H59" s="150"/>
      <c r="I59" s="151"/>
      <c r="J59" s="151"/>
      <c r="K59" s="67"/>
    </row>
    <row r="60" ht="19.5" customHeight="1">
      <c r="A60" s="67"/>
      <c r="B60" s="149"/>
      <c r="C60" s="133">
        <v>140.0</v>
      </c>
      <c r="D60" s="148" t="s">
        <v>68</v>
      </c>
      <c r="E60" s="148" t="s">
        <v>18</v>
      </c>
      <c r="F60" s="145"/>
      <c r="G60" s="149"/>
      <c r="H60" s="150"/>
      <c r="I60" s="151"/>
      <c r="J60" s="151"/>
      <c r="K60" s="67"/>
    </row>
    <row r="61" ht="19.5" customHeight="1">
      <c r="A61" s="67"/>
      <c r="B61" s="149"/>
      <c r="C61" s="133">
        <v>68.0</v>
      </c>
      <c r="D61" s="153" t="s">
        <v>56</v>
      </c>
      <c r="E61" s="148" t="s">
        <v>20</v>
      </c>
      <c r="F61" s="145"/>
      <c r="G61" s="149"/>
      <c r="H61" s="150"/>
      <c r="I61" s="151"/>
      <c r="J61" s="151"/>
      <c r="K61" s="67"/>
    </row>
    <row r="62" ht="19.5" customHeight="1">
      <c r="A62" s="67"/>
      <c r="B62" s="149"/>
      <c r="C62" s="154">
        <v>16.0</v>
      </c>
      <c r="D62" s="148" t="s">
        <v>60</v>
      </c>
      <c r="E62" s="148" t="s">
        <v>16</v>
      </c>
      <c r="F62" s="145"/>
      <c r="G62" s="149"/>
      <c r="H62" s="150"/>
      <c r="I62" s="151"/>
      <c r="J62" s="151"/>
      <c r="K62" s="67"/>
    </row>
    <row r="63" ht="19.5" customHeight="1">
      <c r="A63" s="67"/>
      <c r="B63" s="149"/>
      <c r="C63" s="133">
        <v>100.0</v>
      </c>
      <c r="D63" s="148" t="s">
        <v>70</v>
      </c>
      <c r="E63" s="148" t="s">
        <v>20</v>
      </c>
      <c r="F63" s="145"/>
      <c r="G63" s="149"/>
      <c r="H63" s="150"/>
      <c r="I63" s="151"/>
      <c r="J63" s="151"/>
      <c r="K63" s="67"/>
    </row>
    <row r="64" ht="19.5" customHeight="1">
      <c r="A64" s="67"/>
      <c r="B64" s="149"/>
      <c r="C64" s="133"/>
      <c r="D64" s="148"/>
      <c r="E64" s="148"/>
      <c r="F64" s="145"/>
      <c r="G64" s="149"/>
      <c r="H64" s="150"/>
      <c r="I64" s="151"/>
      <c r="J64" s="151"/>
      <c r="K64" s="67"/>
    </row>
    <row r="65" ht="19.5" customHeight="1">
      <c r="A65" s="67"/>
      <c r="B65" s="149"/>
      <c r="C65" s="133"/>
      <c r="D65" s="148"/>
      <c r="E65" s="148"/>
      <c r="F65" s="145"/>
      <c r="G65" s="149"/>
      <c r="H65" s="150"/>
      <c r="I65" s="151"/>
      <c r="J65" s="151"/>
      <c r="K65" s="67"/>
    </row>
    <row r="66" ht="19.5" customHeight="1">
      <c r="A66" s="67"/>
      <c r="B66" s="149"/>
      <c r="C66" s="133"/>
      <c r="D66" s="148"/>
      <c r="E66" s="148"/>
      <c r="F66" s="145"/>
      <c r="G66" s="149"/>
      <c r="H66" s="150"/>
      <c r="I66" s="151"/>
      <c r="J66" s="151"/>
      <c r="K66" s="67"/>
    </row>
    <row r="67" ht="19.5" customHeight="1">
      <c r="A67" s="67"/>
      <c r="B67" s="149"/>
      <c r="C67" s="154"/>
      <c r="D67" s="148"/>
      <c r="E67" s="148"/>
      <c r="F67" s="145"/>
      <c r="G67" s="149"/>
      <c r="H67" s="150"/>
      <c r="I67" s="151"/>
      <c r="J67" s="151"/>
      <c r="K67" s="67"/>
    </row>
    <row r="68" ht="19.5" customHeight="1">
      <c r="A68" s="67"/>
      <c r="B68" s="149"/>
      <c r="C68" s="133"/>
      <c r="D68" s="148"/>
      <c r="E68" s="148"/>
      <c r="F68" s="145"/>
      <c r="G68" s="149"/>
      <c r="H68" s="150"/>
      <c r="I68" s="151"/>
      <c r="J68" s="151"/>
      <c r="K68" s="67"/>
    </row>
    <row r="69" ht="19.5" customHeight="1">
      <c r="A69" s="67"/>
      <c r="B69" s="149"/>
      <c r="C69" s="133"/>
      <c r="D69" s="148"/>
      <c r="E69" s="148"/>
      <c r="F69" s="145"/>
      <c r="G69" s="149"/>
      <c r="H69" s="150"/>
      <c r="I69" s="151"/>
      <c r="J69" s="151"/>
      <c r="K69" s="67"/>
    </row>
    <row r="70" ht="19.5" customHeight="1">
      <c r="A70" s="67"/>
      <c r="B70" s="149"/>
      <c r="C70" s="133"/>
      <c r="D70" s="148"/>
      <c r="E70" s="148"/>
      <c r="F70" s="145"/>
      <c r="G70" s="149"/>
      <c r="H70" s="150"/>
      <c r="I70" s="151"/>
      <c r="J70" s="151"/>
      <c r="K70" s="67"/>
    </row>
    <row r="71" ht="19.5" customHeight="1">
      <c r="A71" s="67"/>
      <c r="B71" s="149"/>
      <c r="C71" s="133"/>
      <c r="D71" s="148"/>
      <c r="E71" s="148"/>
      <c r="F71" s="145"/>
      <c r="G71" s="149"/>
      <c r="H71" s="150"/>
      <c r="I71" s="151"/>
      <c r="J71" s="151"/>
      <c r="K71" s="67"/>
    </row>
    <row r="72" ht="19.5" customHeight="1">
      <c r="A72" s="67"/>
      <c r="B72" s="149"/>
      <c r="C72" s="133"/>
      <c r="D72" s="148"/>
      <c r="E72" s="148"/>
      <c r="F72" s="145"/>
      <c r="G72" s="149"/>
      <c r="H72" s="150"/>
      <c r="I72" s="151"/>
      <c r="J72" s="151"/>
      <c r="K72" s="67"/>
    </row>
    <row r="73" ht="19.5" customHeight="1">
      <c r="A73" s="67"/>
      <c r="B73" s="149"/>
      <c r="C73" s="133"/>
      <c r="D73" s="148"/>
      <c r="E73" s="148"/>
      <c r="F73" s="145"/>
      <c r="G73" s="149"/>
      <c r="H73" s="150"/>
      <c r="I73" s="151"/>
      <c r="J73" s="151"/>
      <c r="K73" s="67"/>
    </row>
    <row r="74" ht="19.5" customHeight="1">
      <c r="A74" s="67"/>
      <c r="B74" s="149"/>
      <c r="C74" s="133"/>
      <c r="D74" s="148"/>
      <c r="E74" s="148"/>
      <c r="F74" s="145"/>
      <c r="G74" s="149"/>
      <c r="H74" s="150"/>
      <c r="I74" s="151"/>
      <c r="J74" s="151"/>
      <c r="K74" s="67"/>
    </row>
    <row r="75" ht="19.5" customHeight="1">
      <c r="A75" s="67"/>
      <c r="B75" s="149"/>
      <c r="C75" s="133"/>
      <c r="D75" s="148"/>
      <c r="E75" s="148"/>
      <c r="F75" s="145"/>
      <c r="G75" s="149"/>
      <c r="H75" s="150"/>
      <c r="I75" s="151"/>
      <c r="J75" s="151"/>
      <c r="K75" s="67"/>
    </row>
    <row r="76" ht="19.5" customHeight="1">
      <c r="A76" s="67"/>
      <c r="B76" s="149"/>
      <c r="C76" s="133"/>
      <c r="D76" s="148"/>
      <c r="E76" s="148"/>
      <c r="F76" s="145"/>
      <c r="G76" s="149"/>
      <c r="H76" s="150"/>
      <c r="I76" s="151"/>
      <c r="J76" s="151"/>
      <c r="K76" s="67"/>
    </row>
    <row r="77" ht="19.5" customHeight="1">
      <c r="A77" s="67"/>
      <c r="B77" s="149"/>
      <c r="C77" s="133"/>
      <c r="D77" s="148"/>
      <c r="E77" s="148"/>
      <c r="F77" s="145"/>
      <c r="G77" s="149"/>
      <c r="H77" s="150"/>
      <c r="I77" s="151"/>
      <c r="J77" s="151"/>
      <c r="K77" s="67"/>
    </row>
    <row r="78" ht="19.5" customHeight="1">
      <c r="A78" s="67"/>
      <c r="B78" s="149"/>
      <c r="C78" s="133"/>
      <c r="D78" s="148"/>
      <c r="E78" s="148"/>
      <c r="F78" s="145"/>
      <c r="G78" s="149"/>
      <c r="H78" s="150"/>
      <c r="I78" s="151"/>
      <c r="J78" s="151"/>
      <c r="K78" s="67"/>
    </row>
    <row r="79" ht="19.5" customHeight="1">
      <c r="A79" s="67"/>
      <c r="B79" s="149"/>
      <c r="C79" s="133"/>
      <c r="D79" s="148"/>
      <c r="E79" s="148"/>
      <c r="F79" s="145"/>
      <c r="G79" s="149"/>
      <c r="H79" s="150"/>
      <c r="I79" s="151"/>
      <c r="J79" s="151"/>
      <c r="K79" s="67"/>
    </row>
    <row r="80" ht="19.5" customHeight="1">
      <c r="A80" s="67"/>
      <c r="B80" s="149"/>
      <c r="C80" s="133"/>
      <c r="D80" s="148"/>
      <c r="E80" s="148"/>
      <c r="F80" s="145"/>
      <c r="G80" s="149"/>
      <c r="H80" s="150"/>
      <c r="I80" s="151"/>
      <c r="J80" s="151"/>
      <c r="K80" s="67"/>
    </row>
    <row r="81" ht="19.5" customHeight="1">
      <c r="A81" s="67"/>
      <c r="B81" s="149"/>
      <c r="C81" s="133"/>
      <c r="D81" s="148"/>
      <c r="E81" s="148"/>
      <c r="F81" s="145"/>
      <c r="G81" s="149"/>
      <c r="H81" s="150"/>
      <c r="I81" s="151"/>
      <c r="J81" s="151"/>
      <c r="K81" s="67"/>
    </row>
    <row r="82" ht="19.5" customHeight="1">
      <c r="A82" s="67"/>
      <c r="B82" s="149"/>
      <c r="C82" s="133"/>
      <c r="D82" s="151"/>
      <c r="E82" s="151"/>
      <c r="F82" s="145"/>
      <c r="G82" s="149"/>
      <c r="H82" s="150"/>
      <c r="I82" s="151"/>
      <c r="J82" s="151"/>
      <c r="K82" s="67"/>
    </row>
    <row r="83" ht="19.5" customHeight="1">
      <c r="A83" s="67"/>
      <c r="B83" s="149"/>
      <c r="C83" s="133"/>
      <c r="D83" s="151"/>
      <c r="E83" s="151"/>
      <c r="F83" s="145"/>
      <c r="G83" s="149"/>
      <c r="H83" s="150"/>
      <c r="I83" s="151"/>
      <c r="J83" s="151"/>
      <c r="K83" s="67"/>
    </row>
    <row r="84" ht="19.5" customHeight="1">
      <c r="A84" s="67"/>
      <c r="B84" s="149"/>
      <c r="C84" s="133"/>
      <c r="D84" s="151"/>
      <c r="E84" s="151"/>
      <c r="F84" s="145"/>
      <c r="G84" s="149"/>
      <c r="H84" s="150"/>
      <c r="I84" s="151"/>
      <c r="J84" s="151"/>
      <c r="K84" s="67"/>
    </row>
    <row r="85" ht="19.5" customHeight="1">
      <c r="A85" s="67"/>
      <c r="B85" s="149"/>
      <c r="C85" s="133"/>
      <c r="D85" s="151"/>
      <c r="E85" s="151"/>
      <c r="F85" s="145"/>
      <c r="G85" s="149"/>
      <c r="H85" s="150"/>
      <c r="I85" s="151"/>
      <c r="J85" s="151"/>
      <c r="K85" s="67"/>
    </row>
    <row r="86" ht="19.5" customHeight="1">
      <c r="A86" s="67"/>
      <c r="B86" s="149"/>
      <c r="C86" s="133"/>
      <c r="D86" s="151"/>
      <c r="E86" s="151"/>
      <c r="F86" s="145"/>
      <c r="G86" s="149"/>
      <c r="H86" s="150"/>
      <c r="I86" s="151"/>
      <c r="J86" s="151"/>
      <c r="K86" s="67"/>
    </row>
    <row r="87" ht="19.5" customHeight="1">
      <c r="A87" s="67"/>
      <c r="B87" s="149"/>
      <c r="C87" s="133"/>
      <c r="D87" s="151"/>
      <c r="E87" s="151"/>
      <c r="F87" s="145"/>
      <c r="G87" s="149"/>
      <c r="H87" s="150"/>
      <c r="I87" s="151"/>
      <c r="J87" s="151"/>
      <c r="K87" s="67"/>
    </row>
    <row r="88" ht="19.5" customHeight="1">
      <c r="A88" s="67"/>
      <c r="B88" s="149"/>
      <c r="C88" s="133"/>
      <c r="D88" s="151"/>
      <c r="E88" s="151"/>
      <c r="F88" s="145"/>
      <c r="G88" s="149"/>
      <c r="H88" s="150"/>
      <c r="I88" s="151"/>
      <c r="J88" s="151"/>
      <c r="K88" s="67"/>
    </row>
    <row r="89" ht="19.5" customHeight="1">
      <c r="A89" s="67"/>
      <c r="B89" s="149"/>
      <c r="C89" s="133"/>
      <c r="D89" s="151"/>
      <c r="E89" s="151"/>
      <c r="F89" s="145"/>
      <c r="G89" s="149"/>
      <c r="H89" s="150"/>
      <c r="I89" s="151"/>
      <c r="J89" s="151"/>
      <c r="K89" s="67"/>
    </row>
    <row r="90" ht="19.5" customHeight="1">
      <c r="A90" s="67"/>
      <c r="B90" s="149"/>
      <c r="C90" s="133"/>
      <c r="D90" s="151"/>
      <c r="E90" s="151"/>
      <c r="F90" s="145"/>
      <c r="G90" s="149"/>
      <c r="H90" s="150"/>
      <c r="I90" s="151"/>
      <c r="J90" s="151"/>
      <c r="K90" s="67"/>
    </row>
    <row r="91" ht="19.5" customHeight="1">
      <c r="A91" s="67"/>
      <c r="B91" s="149"/>
      <c r="C91" s="133"/>
      <c r="D91" s="151"/>
      <c r="E91" s="151"/>
      <c r="F91" s="145"/>
      <c r="G91" s="149"/>
      <c r="H91" s="150"/>
      <c r="I91" s="151"/>
      <c r="J91" s="151"/>
      <c r="K91" s="67"/>
    </row>
    <row r="92" ht="19.5" customHeight="1">
      <c r="A92" s="67"/>
      <c r="B92" s="149"/>
      <c r="C92" s="133"/>
      <c r="D92" s="151"/>
      <c r="E92" s="151"/>
      <c r="F92" s="145"/>
      <c r="G92" s="149"/>
      <c r="H92" s="150"/>
      <c r="I92" s="151"/>
      <c r="J92" s="151"/>
      <c r="K92" s="67"/>
    </row>
    <row r="93" ht="19.5" customHeight="1">
      <c r="A93" s="67"/>
      <c r="B93" s="149"/>
      <c r="C93" s="133"/>
      <c r="D93" s="151"/>
      <c r="E93" s="151"/>
      <c r="F93" s="145"/>
      <c r="G93" s="149"/>
      <c r="H93" s="150"/>
      <c r="I93" s="151"/>
      <c r="J93" s="151"/>
      <c r="K93" s="67"/>
    </row>
    <row r="94" ht="19.5" customHeight="1">
      <c r="A94" s="67"/>
      <c r="B94" s="149"/>
      <c r="C94" s="133"/>
      <c r="D94" s="151"/>
      <c r="E94" s="151"/>
      <c r="F94" s="145"/>
      <c r="G94" s="149"/>
      <c r="H94" s="150"/>
      <c r="I94" s="151"/>
      <c r="J94" s="151"/>
      <c r="K94" s="67"/>
    </row>
    <row r="95" ht="19.5" customHeight="1">
      <c r="A95" s="67"/>
      <c r="B95" s="149"/>
      <c r="C95" s="133"/>
      <c r="D95" s="151"/>
      <c r="E95" s="151"/>
      <c r="F95" s="145"/>
      <c r="G95" s="149"/>
      <c r="H95" s="150"/>
      <c r="I95" s="151"/>
      <c r="J95" s="151"/>
      <c r="K95" s="67"/>
    </row>
    <row r="96" ht="19.5" customHeight="1">
      <c r="A96" s="67"/>
      <c r="B96" s="149"/>
      <c r="C96" s="133"/>
      <c r="D96" s="151"/>
      <c r="E96" s="151"/>
      <c r="F96" s="145"/>
      <c r="G96" s="149"/>
      <c r="H96" s="150"/>
      <c r="I96" s="151"/>
      <c r="J96" s="151"/>
      <c r="K96" s="67"/>
    </row>
    <row r="97" ht="19.5" customHeight="1">
      <c r="A97" s="67"/>
      <c r="B97" s="149"/>
      <c r="C97" s="133"/>
      <c r="D97" s="151"/>
      <c r="E97" s="151"/>
      <c r="F97" s="145"/>
      <c r="G97" s="149"/>
      <c r="H97" s="150"/>
      <c r="I97" s="151"/>
      <c r="J97" s="151"/>
      <c r="K97" s="67"/>
    </row>
    <row r="98" ht="19.5" customHeight="1">
      <c r="A98" s="67"/>
      <c r="B98" s="149"/>
      <c r="C98" s="133"/>
      <c r="D98" s="151"/>
      <c r="E98" s="151"/>
      <c r="F98" s="145"/>
      <c r="G98" s="149"/>
      <c r="H98" s="150"/>
      <c r="I98" s="151"/>
      <c r="J98" s="151"/>
      <c r="K98" s="67"/>
    </row>
    <row r="99" ht="19.5" customHeight="1">
      <c r="A99" s="67"/>
      <c r="B99" s="149"/>
      <c r="C99" s="133"/>
      <c r="D99" s="151"/>
      <c r="E99" s="151"/>
      <c r="F99" s="145"/>
      <c r="G99" s="149"/>
      <c r="H99" s="150"/>
      <c r="I99" s="151"/>
      <c r="J99" s="151"/>
      <c r="K99" s="67"/>
    </row>
    <row r="100" ht="19.5" customHeight="1">
      <c r="A100" s="67"/>
      <c r="B100" s="149"/>
      <c r="C100" s="133"/>
      <c r="D100" s="151"/>
      <c r="E100" s="151"/>
      <c r="F100" s="145"/>
      <c r="G100" s="149"/>
      <c r="H100" s="150"/>
      <c r="I100" s="151"/>
      <c r="J100" s="151"/>
      <c r="K100" s="67"/>
    </row>
    <row r="101" ht="19.5" customHeight="1">
      <c r="A101" s="67"/>
      <c r="B101" s="149"/>
      <c r="C101" s="133"/>
      <c r="D101" s="151"/>
      <c r="E101" s="151"/>
      <c r="F101" s="145"/>
      <c r="G101" s="149"/>
      <c r="H101" s="150"/>
      <c r="I101" s="151"/>
      <c r="J101" s="151"/>
      <c r="K101" s="67"/>
    </row>
    <row r="102" ht="19.5" customHeight="1">
      <c r="A102" s="67"/>
      <c r="B102" s="149"/>
      <c r="C102" s="133"/>
      <c r="D102" s="151"/>
      <c r="E102" s="151"/>
      <c r="F102" s="145"/>
      <c r="G102" s="149"/>
      <c r="H102" s="150"/>
      <c r="I102" s="151"/>
      <c r="J102" s="151"/>
      <c r="K102" s="67"/>
    </row>
    <row r="103" ht="19.5" customHeight="1">
      <c r="A103" s="67"/>
      <c r="B103" s="149"/>
      <c r="C103" s="133"/>
      <c r="D103" s="151"/>
      <c r="E103" s="151"/>
      <c r="F103" s="145"/>
      <c r="G103" s="149"/>
      <c r="H103" s="150"/>
      <c r="I103" s="151"/>
      <c r="J103" s="151"/>
      <c r="K103" s="67"/>
    </row>
    <row r="104" ht="19.5" customHeight="1">
      <c r="A104" s="67"/>
      <c r="B104" s="149"/>
      <c r="C104" s="133"/>
      <c r="D104" s="151"/>
      <c r="E104" s="151"/>
      <c r="F104" s="145"/>
      <c r="G104" s="149"/>
      <c r="H104" s="150"/>
      <c r="I104" s="151"/>
      <c r="J104" s="151"/>
      <c r="K104" s="67"/>
    </row>
    <row r="105" ht="19.5" customHeight="1">
      <c r="A105" s="67"/>
      <c r="B105" s="149"/>
      <c r="C105" s="133"/>
      <c r="D105" s="151"/>
      <c r="E105" s="151"/>
      <c r="F105" s="145"/>
      <c r="G105" s="149"/>
      <c r="H105" s="150"/>
      <c r="I105" s="151"/>
      <c r="J105" s="151"/>
      <c r="K105" s="67"/>
    </row>
    <row r="106" ht="19.5" customHeight="1">
      <c r="A106" s="67"/>
      <c r="B106" s="149"/>
      <c r="C106" s="133"/>
      <c r="D106" s="151"/>
      <c r="E106" s="151"/>
      <c r="F106" s="145"/>
      <c r="G106" s="149"/>
      <c r="H106" s="150"/>
      <c r="I106" s="151"/>
      <c r="J106" s="151"/>
      <c r="K106" s="67"/>
    </row>
    <row r="107" ht="19.5" customHeight="1">
      <c r="A107" s="67"/>
      <c r="B107" s="149"/>
      <c r="C107" s="133"/>
      <c r="D107" s="151"/>
      <c r="E107" s="151"/>
      <c r="F107" s="145"/>
      <c r="G107" s="149"/>
      <c r="H107" s="150"/>
      <c r="I107" s="151"/>
      <c r="J107" s="151"/>
      <c r="K107" s="67"/>
    </row>
    <row r="108" ht="19.5" customHeight="1">
      <c r="A108" s="67"/>
      <c r="B108" s="149"/>
      <c r="C108" s="133"/>
      <c r="D108" s="151"/>
      <c r="E108" s="151"/>
      <c r="F108" s="145"/>
      <c r="G108" s="149"/>
      <c r="H108" s="150"/>
      <c r="I108" s="151"/>
      <c r="J108" s="151"/>
      <c r="K108" s="67"/>
    </row>
    <row r="109" ht="19.5" customHeight="1">
      <c r="A109" s="67"/>
      <c r="B109" s="149"/>
      <c r="C109" s="133"/>
      <c r="D109" s="151"/>
      <c r="E109" s="151"/>
      <c r="F109" s="145"/>
      <c r="G109" s="149"/>
      <c r="H109" s="150"/>
      <c r="I109" s="151"/>
      <c r="J109" s="151"/>
      <c r="K109" s="67"/>
    </row>
    <row r="110" ht="19.5" customHeight="1">
      <c r="A110" s="67"/>
      <c r="B110" s="149"/>
      <c r="C110" s="133"/>
      <c r="D110" s="151"/>
      <c r="E110" s="151"/>
      <c r="F110" s="145"/>
      <c r="G110" s="149"/>
      <c r="H110" s="150"/>
      <c r="I110" s="151"/>
      <c r="J110" s="151"/>
      <c r="K110" s="67"/>
    </row>
    <row r="111" ht="19.5" customHeight="1">
      <c r="A111" s="67"/>
      <c r="B111" s="149"/>
      <c r="C111" s="133"/>
      <c r="D111" s="151"/>
      <c r="E111" s="151"/>
      <c r="F111" s="145"/>
      <c r="G111" s="149"/>
      <c r="H111" s="150"/>
      <c r="I111" s="151"/>
      <c r="J111" s="151"/>
      <c r="K111" s="67"/>
    </row>
    <row r="112" ht="19.5" customHeight="1">
      <c r="A112" s="67"/>
      <c r="B112" s="149"/>
      <c r="C112" s="133"/>
      <c r="D112" s="151"/>
      <c r="E112" s="151"/>
      <c r="F112" s="145"/>
      <c r="G112" s="149"/>
      <c r="H112" s="150"/>
      <c r="I112" s="151"/>
      <c r="J112" s="151"/>
      <c r="K112" s="67"/>
    </row>
    <row r="113" ht="19.5" customHeight="1">
      <c r="A113" s="67"/>
      <c r="B113" s="149"/>
      <c r="C113" s="133"/>
      <c r="D113" s="151"/>
      <c r="E113" s="151"/>
      <c r="F113" s="145"/>
      <c r="G113" s="149"/>
      <c r="H113" s="150"/>
      <c r="I113" s="151"/>
      <c r="J113" s="151"/>
      <c r="K113" s="67"/>
    </row>
    <row r="114" ht="19.5" customHeight="1">
      <c r="A114" s="67"/>
      <c r="B114" s="149"/>
      <c r="C114" s="133"/>
      <c r="D114" s="151"/>
      <c r="E114" s="151"/>
      <c r="F114" s="145"/>
      <c r="G114" s="149"/>
      <c r="H114" s="150"/>
      <c r="I114" s="151"/>
      <c r="J114" s="151"/>
      <c r="K114" s="67"/>
    </row>
    <row r="115" ht="19.5" customHeight="1">
      <c r="A115" s="67"/>
      <c r="B115" s="149"/>
      <c r="C115" s="133"/>
      <c r="D115" s="151"/>
      <c r="E115" s="151"/>
      <c r="F115" s="145"/>
      <c r="G115" s="149"/>
      <c r="H115" s="150"/>
      <c r="I115" s="151"/>
      <c r="J115" s="151"/>
      <c r="K115" s="67"/>
    </row>
    <row r="116" ht="19.5" customHeight="1">
      <c r="A116" s="67"/>
      <c r="B116" s="149"/>
      <c r="C116" s="133"/>
      <c r="D116" s="151"/>
      <c r="E116" s="151"/>
      <c r="F116" s="145"/>
      <c r="G116" s="149"/>
      <c r="H116" s="150"/>
      <c r="I116" s="151"/>
      <c r="J116" s="151"/>
      <c r="K116" s="67"/>
    </row>
    <row r="117" ht="19.5" customHeight="1">
      <c r="A117" s="67"/>
      <c r="B117" s="149"/>
      <c r="C117" s="133"/>
      <c r="D117" s="151"/>
      <c r="E117" s="151"/>
      <c r="F117" s="145"/>
      <c r="G117" s="149"/>
      <c r="H117" s="150"/>
      <c r="I117" s="151"/>
      <c r="J117" s="151"/>
      <c r="K117" s="67"/>
    </row>
    <row r="118" ht="19.5" customHeight="1">
      <c r="A118" s="67"/>
      <c r="B118" s="149"/>
      <c r="C118" s="133"/>
      <c r="D118" s="151"/>
      <c r="E118" s="151"/>
      <c r="F118" s="145"/>
      <c r="G118" s="149"/>
      <c r="H118" s="150"/>
      <c r="I118" s="151"/>
      <c r="J118" s="151"/>
      <c r="K118" s="67"/>
    </row>
    <row r="119" ht="19.5" customHeight="1">
      <c r="A119" s="67"/>
      <c r="B119" s="149"/>
      <c r="C119" s="133"/>
      <c r="D119" s="151"/>
      <c r="E119" s="151"/>
      <c r="F119" s="145"/>
      <c r="G119" s="149"/>
      <c r="H119" s="150"/>
      <c r="I119" s="151"/>
      <c r="J119" s="151"/>
      <c r="K119" s="67"/>
    </row>
    <row r="120" ht="19.5" customHeight="1">
      <c r="A120" s="67"/>
      <c r="B120" s="149"/>
      <c r="C120" s="133"/>
      <c r="D120" s="151"/>
      <c r="E120" s="151"/>
      <c r="F120" s="145"/>
      <c r="G120" s="149"/>
      <c r="H120" s="150"/>
      <c r="I120" s="151"/>
      <c r="J120" s="151"/>
      <c r="K120" s="67"/>
    </row>
    <row r="121" ht="19.5" customHeight="1">
      <c r="A121" s="67"/>
      <c r="B121" s="149"/>
      <c r="C121" s="133"/>
      <c r="D121" s="151"/>
      <c r="E121" s="151"/>
      <c r="F121" s="145"/>
      <c r="G121" s="149"/>
      <c r="H121" s="150"/>
      <c r="I121" s="151"/>
      <c r="J121" s="151"/>
      <c r="K121" s="67"/>
    </row>
    <row r="122" ht="19.5" customHeight="1">
      <c r="A122" s="67"/>
      <c r="B122" s="149"/>
      <c r="C122" s="133"/>
      <c r="D122" s="151"/>
      <c r="E122" s="151"/>
      <c r="F122" s="145"/>
      <c r="G122" s="149"/>
      <c r="H122" s="150"/>
      <c r="I122" s="151"/>
      <c r="J122" s="151"/>
      <c r="K122" s="67"/>
    </row>
    <row r="123" ht="19.5" customHeight="1">
      <c r="A123" s="67"/>
      <c r="B123" s="155"/>
      <c r="C123" s="133"/>
      <c r="D123" s="145"/>
      <c r="E123" s="145"/>
      <c r="F123" s="145"/>
      <c r="G123" s="155"/>
      <c r="H123" s="156"/>
      <c r="I123" s="145"/>
      <c r="J123" s="145"/>
      <c r="K123" s="67"/>
    </row>
    <row r="124" ht="19.5" customHeight="1">
      <c r="A124" s="67"/>
      <c r="B124" s="155"/>
      <c r="C124" s="133"/>
      <c r="D124" s="145"/>
      <c r="E124" s="145"/>
      <c r="F124" s="145"/>
      <c r="G124" s="155"/>
      <c r="H124" s="156"/>
      <c r="I124" s="145"/>
      <c r="J124" s="145"/>
      <c r="K124" s="67"/>
    </row>
    <row r="125" ht="19.5" customHeight="1">
      <c r="A125" s="67"/>
      <c r="B125" s="155"/>
      <c r="C125" s="133"/>
      <c r="D125" s="145"/>
      <c r="E125" s="145"/>
      <c r="F125" s="145"/>
      <c r="G125" s="155"/>
      <c r="H125" s="156"/>
      <c r="I125" s="145"/>
      <c r="J125" s="145"/>
      <c r="K125" s="67"/>
    </row>
    <row r="126" ht="19.5" customHeight="1">
      <c r="A126" s="67"/>
      <c r="B126" s="155"/>
      <c r="C126" s="133"/>
      <c r="D126" s="145"/>
      <c r="E126" s="145"/>
      <c r="F126" s="145"/>
      <c r="G126" s="155"/>
      <c r="H126" s="156"/>
      <c r="I126" s="145"/>
      <c r="J126" s="145"/>
      <c r="K126" s="67"/>
    </row>
    <row r="127" ht="19.5" customHeight="1">
      <c r="A127" s="67"/>
      <c r="B127" s="155"/>
      <c r="C127" s="133"/>
      <c r="D127" s="145"/>
      <c r="E127" s="145"/>
      <c r="F127" s="145"/>
      <c r="G127" s="155"/>
      <c r="H127" s="156"/>
      <c r="I127" s="145"/>
      <c r="J127" s="145"/>
      <c r="K127" s="67"/>
    </row>
    <row r="128" ht="19.5" customHeight="1">
      <c r="A128" s="67"/>
      <c r="B128" s="155"/>
      <c r="C128" s="156"/>
      <c r="D128" s="145"/>
      <c r="E128" s="145"/>
      <c r="F128" s="145"/>
      <c r="G128" s="155"/>
      <c r="H128" s="156"/>
      <c r="I128" s="145"/>
      <c r="J128" s="145"/>
      <c r="K128" s="67"/>
    </row>
    <row r="129" ht="19.5" customHeight="1">
      <c r="A129" s="67"/>
      <c r="B129" s="155"/>
      <c r="C129" s="156"/>
      <c r="D129" s="145"/>
      <c r="E129" s="145"/>
      <c r="F129" s="145"/>
      <c r="G129" s="155"/>
      <c r="H129" s="156"/>
      <c r="I129" s="145"/>
      <c r="J129" s="145"/>
      <c r="K129" s="67"/>
    </row>
    <row r="130" ht="19.5" customHeight="1">
      <c r="A130" s="67"/>
      <c r="B130" s="155"/>
      <c r="C130" s="156"/>
      <c r="D130" s="145"/>
      <c r="E130" s="145"/>
      <c r="F130" s="145"/>
      <c r="G130" s="155"/>
      <c r="H130" s="156"/>
      <c r="I130" s="145"/>
      <c r="J130" s="145"/>
      <c r="K130" s="67"/>
    </row>
    <row r="131" ht="19.5" customHeight="1">
      <c r="A131" s="67"/>
      <c r="B131" s="155"/>
      <c r="C131" s="156"/>
      <c r="D131" s="145"/>
      <c r="E131" s="145"/>
      <c r="F131" s="145"/>
      <c r="G131" s="155"/>
      <c r="H131" s="156"/>
      <c r="I131" s="145"/>
      <c r="J131" s="145"/>
      <c r="K131" s="67"/>
    </row>
    <row r="132" ht="19.5" customHeight="1">
      <c r="A132" s="67"/>
      <c r="B132" s="155"/>
      <c r="C132" s="156"/>
      <c r="D132" s="145"/>
      <c r="E132" s="145"/>
      <c r="F132" s="145"/>
      <c r="G132" s="155"/>
      <c r="H132" s="156"/>
      <c r="I132" s="145"/>
      <c r="J132" s="145"/>
      <c r="K132" s="67"/>
    </row>
    <row r="133" ht="19.5" customHeight="1">
      <c r="A133" s="67"/>
      <c r="B133" s="155"/>
      <c r="C133" s="156"/>
      <c r="D133" s="145"/>
      <c r="E133" s="145"/>
      <c r="F133" s="145"/>
      <c r="G133" s="155"/>
      <c r="H133" s="156"/>
      <c r="I133" s="145"/>
      <c r="J133" s="145"/>
      <c r="K133" s="67"/>
    </row>
    <row r="134" ht="19.5" customHeight="1">
      <c r="A134" s="67"/>
      <c r="B134" s="155"/>
      <c r="C134" s="156"/>
      <c r="D134" s="145"/>
      <c r="E134" s="145"/>
      <c r="F134" s="145"/>
      <c r="G134" s="155"/>
      <c r="H134" s="156"/>
      <c r="I134" s="145"/>
      <c r="J134" s="145"/>
      <c r="K134" s="67"/>
    </row>
    <row r="135" ht="19.5" customHeight="1">
      <c r="A135" s="67"/>
      <c r="B135" s="155"/>
      <c r="C135" s="156"/>
      <c r="D135" s="145"/>
      <c r="E135" s="145"/>
      <c r="F135" s="145"/>
      <c r="G135" s="155"/>
      <c r="H135" s="156"/>
      <c r="I135" s="145"/>
      <c r="J135" s="145"/>
      <c r="K135" s="67"/>
    </row>
    <row r="136" ht="19.5" customHeight="1">
      <c r="A136" s="67"/>
      <c r="B136" s="155"/>
      <c r="C136" s="156"/>
      <c r="D136" s="145"/>
      <c r="E136" s="145"/>
      <c r="F136" s="145"/>
      <c r="G136" s="155"/>
      <c r="H136" s="156"/>
      <c r="I136" s="145"/>
      <c r="J136" s="145"/>
      <c r="K136" s="67"/>
    </row>
    <row r="137" ht="19.5" customHeight="1">
      <c r="A137" s="67"/>
      <c r="B137" s="155"/>
      <c r="C137" s="156"/>
      <c r="D137" s="145"/>
      <c r="E137" s="145"/>
      <c r="F137" s="145"/>
      <c r="G137" s="155"/>
      <c r="H137" s="156"/>
      <c r="I137" s="145"/>
      <c r="J137" s="145"/>
      <c r="K137" s="67"/>
    </row>
    <row r="138" ht="19.5" customHeight="1">
      <c r="A138" s="67"/>
      <c r="B138" s="155"/>
      <c r="C138" s="156"/>
      <c r="D138" s="145"/>
      <c r="E138" s="145"/>
      <c r="F138" s="145"/>
      <c r="G138" s="155"/>
      <c r="H138" s="156"/>
      <c r="I138" s="145"/>
      <c r="J138" s="145"/>
      <c r="K138" s="67"/>
    </row>
    <row r="139" ht="19.5" customHeight="1">
      <c r="A139" s="67"/>
      <c r="B139" s="155"/>
      <c r="C139" s="156"/>
      <c r="D139" s="145"/>
      <c r="E139" s="145"/>
      <c r="F139" s="145"/>
      <c r="G139" s="155"/>
      <c r="H139" s="156"/>
      <c r="I139" s="145"/>
      <c r="J139" s="145"/>
      <c r="K139" s="67"/>
    </row>
    <row r="140" ht="19.5" customHeight="1">
      <c r="A140" s="67"/>
      <c r="B140" s="155"/>
      <c r="C140" s="156"/>
      <c r="D140" s="145"/>
      <c r="E140" s="145"/>
      <c r="F140" s="145"/>
      <c r="G140" s="155"/>
      <c r="H140" s="156"/>
      <c r="I140" s="145"/>
      <c r="J140" s="145"/>
      <c r="K140" s="67"/>
    </row>
    <row r="141" ht="19.5" customHeight="1">
      <c r="A141" s="67"/>
      <c r="B141" s="155"/>
      <c r="C141" s="156"/>
      <c r="D141" s="145"/>
      <c r="E141" s="145"/>
      <c r="F141" s="145"/>
      <c r="G141" s="155"/>
      <c r="H141" s="156"/>
      <c r="I141" s="145"/>
      <c r="J141" s="145"/>
      <c r="K141" s="67"/>
    </row>
    <row r="142" ht="19.5" customHeight="1">
      <c r="A142" s="67"/>
      <c r="B142" s="155"/>
      <c r="C142" s="156"/>
      <c r="D142" s="145"/>
      <c r="E142" s="145"/>
      <c r="F142" s="145"/>
      <c r="G142" s="155"/>
      <c r="H142" s="156"/>
      <c r="I142" s="145"/>
      <c r="J142" s="145"/>
      <c r="K142" s="67"/>
    </row>
    <row r="143" ht="19.5" customHeight="1">
      <c r="A143" s="67"/>
      <c r="B143" s="155"/>
      <c r="C143" s="156"/>
      <c r="D143" s="145"/>
      <c r="E143" s="145"/>
      <c r="F143" s="145"/>
      <c r="G143" s="155"/>
      <c r="H143" s="156"/>
      <c r="I143" s="145"/>
      <c r="J143" s="145"/>
      <c r="K143" s="67"/>
    </row>
    <row r="144" ht="19.5" customHeight="1">
      <c r="A144" s="67"/>
      <c r="B144" s="155"/>
      <c r="C144" s="156"/>
      <c r="D144" s="145"/>
      <c r="E144" s="145"/>
      <c r="F144" s="145"/>
      <c r="G144" s="155"/>
      <c r="H144" s="156"/>
      <c r="I144" s="145"/>
      <c r="J144" s="145"/>
      <c r="K144" s="67"/>
    </row>
    <row r="145" ht="19.5" customHeight="1">
      <c r="A145" s="67"/>
      <c r="B145" s="155"/>
      <c r="C145" s="156"/>
      <c r="D145" s="145"/>
      <c r="E145" s="145"/>
      <c r="F145" s="145"/>
      <c r="G145" s="155"/>
      <c r="H145" s="156"/>
      <c r="I145" s="145"/>
      <c r="J145" s="145"/>
      <c r="K145" s="67"/>
    </row>
    <row r="146" ht="19.5" customHeight="1">
      <c r="A146" s="67"/>
      <c r="B146" s="155"/>
      <c r="C146" s="156"/>
      <c r="D146" s="145"/>
      <c r="E146" s="145"/>
      <c r="F146" s="145"/>
      <c r="G146" s="155"/>
      <c r="H146" s="156"/>
      <c r="I146" s="145"/>
      <c r="J146" s="145"/>
      <c r="K146" s="67"/>
    </row>
    <row r="147" ht="19.5" customHeight="1">
      <c r="A147" s="67"/>
      <c r="B147" s="155"/>
      <c r="C147" s="156"/>
      <c r="D147" s="145"/>
      <c r="E147" s="145"/>
      <c r="F147" s="145"/>
      <c r="G147" s="155"/>
      <c r="H147" s="156"/>
      <c r="I147" s="145"/>
      <c r="J147" s="145"/>
      <c r="K147" s="67"/>
    </row>
    <row r="148" ht="19.5" customHeight="1">
      <c r="A148" s="67"/>
      <c r="B148" s="155"/>
      <c r="C148" s="156"/>
      <c r="D148" s="145"/>
      <c r="E148" s="145"/>
      <c r="F148" s="145"/>
      <c r="G148" s="155"/>
      <c r="H148" s="156"/>
      <c r="I148" s="145"/>
      <c r="J148" s="145"/>
      <c r="K148" s="67"/>
    </row>
    <row r="149" ht="19.5" customHeight="1">
      <c r="A149" s="67"/>
      <c r="B149" s="155"/>
      <c r="C149" s="156"/>
      <c r="D149" s="145"/>
      <c r="E149" s="145"/>
      <c r="F149" s="145"/>
      <c r="G149" s="155"/>
      <c r="H149" s="156"/>
      <c r="I149" s="145"/>
      <c r="J149" s="145"/>
      <c r="K149" s="67"/>
    </row>
    <row r="150" ht="19.5" customHeight="1">
      <c r="A150" s="67"/>
      <c r="B150" s="155"/>
      <c r="C150" s="156"/>
      <c r="D150" s="145"/>
      <c r="E150" s="145"/>
      <c r="F150" s="145"/>
      <c r="G150" s="155"/>
      <c r="H150" s="156"/>
      <c r="I150" s="145"/>
      <c r="J150" s="145"/>
      <c r="K150" s="67"/>
    </row>
    <row r="151" ht="19.5" customHeight="1">
      <c r="A151" s="67"/>
      <c r="B151" s="155"/>
      <c r="C151" s="156"/>
      <c r="D151" s="145"/>
      <c r="E151" s="145"/>
      <c r="F151" s="145"/>
      <c r="G151" s="155"/>
      <c r="H151" s="156"/>
      <c r="I151" s="145"/>
      <c r="J151" s="145"/>
      <c r="K151" s="67"/>
    </row>
    <row r="152" ht="19.5" customHeight="1">
      <c r="A152" s="67"/>
      <c r="B152" s="155"/>
      <c r="C152" s="156"/>
      <c r="D152" s="145"/>
      <c r="E152" s="145"/>
      <c r="F152" s="145"/>
      <c r="G152" s="155"/>
      <c r="H152" s="156"/>
      <c r="I152" s="145"/>
      <c r="J152" s="145"/>
      <c r="K152" s="67"/>
    </row>
    <row r="153" ht="19.5" customHeight="1">
      <c r="A153" s="67"/>
      <c r="B153" s="155"/>
      <c r="C153" s="156"/>
      <c r="D153" s="145"/>
      <c r="E153" s="145"/>
      <c r="F153" s="145"/>
      <c r="G153" s="155"/>
      <c r="H153" s="156"/>
      <c r="I153" s="145"/>
      <c r="J153" s="145"/>
      <c r="K153" s="67"/>
    </row>
    <row r="154" ht="19.5" customHeight="1">
      <c r="A154" s="67"/>
      <c r="B154" s="155"/>
      <c r="C154" s="156"/>
      <c r="D154" s="145"/>
      <c r="E154" s="145"/>
      <c r="F154" s="145"/>
      <c r="G154" s="155"/>
      <c r="H154" s="156"/>
      <c r="I154" s="145"/>
      <c r="J154" s="145"/>
      <c r="K154" s="67"/>
    </row>
    <row r="155" ht="19.5" customHeight="1">
      <c r="A155" s="67"/>
      <c r="B155" s="155"/>
      <c r="C155" s="156"/>
      <c r="D155" s="145"/>
      <c r="E155" s="145"/>
      <c r="F155" s="145"/>
      <c r="G155" s="155"/>
      <c r="H155" s="156"/>
      <c r="I155" s="145"/>
      <c r="J155" s="145"/>
      <c r="K155" s="67"/>
    </row>
    <row r="156" ht="19.5" customHeight="1">
      <c r="A156" s="67"/>
      <c r="B156" s="155"/>
      <c r="C156" s="156"/>
      <c r="D156" s="145"/>
      <c r="E156" s="145"/>
      <c r="F156" s="145"/>
      <c r="G156" s="155"/>
      <c r="H156" s="156"/>
      <c r="I156" s="145"/>
      <c r="J156" s="145"/>
      <c r="K156" s="67"/>
    </row>
    <row r="157" ht="19.5" customHeight="1">
      <c r="A157" s="67"/>
      <c r="B157" s="155"/>
      <c r="C157" s="156"/>
      <c r="D157" s="145"/>
      <c r="E157" s="145"/>
      <c r="F157" s="145"/>
      <c r="G157" s="155"/>
      <c r="H157" s="156"/>
      <c r="I157" s="145"/>
      <c r="J157" s="145"/>
      <c r="K157" s="67"/>
    </row>
    <row r="158" ht="19.5" customHeight="1">
      <c r="A158" s="67"/>
      <c r="B158" s="155"/>
      <c r="C158" s="156"/>
      <c r="D158" s="145"/>
      <c r="E158" s="145"/>
      <c r="F158" s="145"/>
      <c r="G158" s="155"/>
      <c r="H158" s="156"/>
      <c r="I158" s="145"/>
      <c r="J158" s="145"/>
      <c r="K158" s="67"/>
    </row>
    <row r="159" ht="19.5" customHeight="1">
      <c r="A159" s="67"/>
      <c r="B159" s="155"/>
      <c r="C159" s="156"/>
      <c r="D159" s="145"/>
      <c r="E159" s="145"/>
      <c r="F159" s="145"/>
      <c r="G159" s="155"/>
      <c r="H159" s="156"/>
      <c r="I159" s="145"/>
      <c r="J159" s="145"/>
      <c r="K159" s="67"/>
    </row>
    <row r="160" ht="19.5" customHeight="1">
      <c r="A160" s="67"/>
      <c r="B160" s="155"/>
      <c r="C160" s="156"/>
      <c r="D160" s="145"/>
      <c r="E160" s="145"/>
      <c r="F160" s="145"/>
      <c r="G160" s="155"/>
      <c r="H160" s="156"/>
      <c r="I160" s="145"/>
      <c r="J160" s="145"/>
      <c r="K160" s="67"/>
    </row>
  </sheetData>
  <mergeCells count="1">
    <mergeCell ref="B1:J1"/>
  </mergeCells>
  <dataValidations>
    <dataValidation type="list" allowBlank="1" sqref="E5:E160">
      <formula1>Podsumowanie!$B$27:$C$44</formula1>
    </dataValidation>
    <dataValidation type="list" allowBlank="1" sqref="J5:J160">
      <formula1>Podsumowanie!$H$27:$I$44</formula1>
    </dataValidation>
  </dataValidations>
  <drawing r:id="rId1"/>
</worksheet>
</file>